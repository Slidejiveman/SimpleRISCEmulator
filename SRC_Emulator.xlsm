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dnot\Documents\OneDrive\OC General\OC Computer Science\Computer Organization &amp; Architecture\"/>
    </mc:Choice>
  </mc:AlternateContent>
  <xr:revisionPtr revIDLastSave="6186" documentId="15EF7628AEE71536FCF9FD6697FB169185289E56" xr6:coauthVersionLast="24" xr6:coauthVersionMax="24" xr10:uidLastSave="{B25993C4-74AB-4D29-A7FF-B01D8EA976E1}"/>
  <bookViews>
    <workbookView xWindow="0" yWindow="0" windowWidth="23040" windowHeight="9084" xr2:uid="{00000000-000D-0000-FFFF-FFFF00000000}"/>
  </bookViews>
  <sheets>
    <sheet name="CPU" sheetId="1" r:id="rId1"/>
    <sheet name="Memory" sheetId="2" r:id="rId2"/>
  </sheets>
  <functionGroups builtInGroupCount="19"/>
  <definedNames>
    <definedName name="ADD_Result">CPU!$I$21</definedName>
    <definedName name="Ain">CPU!$I$9</definedName>
    <definedName name="ALU_ADD">CPU!$G$21</definedName>
    <definedName name="ALU_AND">CPU!$G$23</definedName>
    <definedName name="ALU_CB">CPU!$G$27</definedName>
    <definedName name="ALU_Dec">CPU!$G$19</definedName>
    <definedName name="ALU_Hex">CPU!$H$19</definedName>
    <definedName name="ALU_INC4">CPU!$G$20</definedName>
    <definedName name="ALU_NEG">CPU!$G$26</definedName>
    <definedName name="ALU_NOT">CPU!$G$25</definedName>
    <definedName name="ALU_OR">CPU!$G$24</definedName>
    <definedName name="ALU_SHC">CPU!$G$31</definedName>
    <definedName name="ALU_SHL">CPU!$G$30</definedName>
    <definedName name="ALU_SHR">CPU!$G$28</definedName>
    <definedName name="ALU_SHRA">CPU!$G$29</definedName>
    <definedName name="ALU_SUB">CPU!$G$22</definedName>
    <definedName name="AND_Result">CPU!$I$23</definedName>
    <definedName name="BAout">CPU!$K$13</definedName>
    <definedName name="BUS">CPU!$B$3</definedName>
    <definedName name="CB_Result">CPU!$I$27</definedName>
    <definedName name="Cin">CPU!$I$10</definedName>
    <definedName name="clock">CPU!$O$4</definedName>
    <definedName name="cond">CPU!$V$14</definedName>
    <definedName name="Cout">CPU!$G$10</definedName>
    <definedName name="Gra">CPU!$G$14</definedName>
    <definedName name="Grb">CPU!$I$14</definedName>
    <definedName name="Grc">CPU!$K$14</definedName>
    <definedName name="INC4_Result">CPU!$I$20</definedName>
    <definedName name="IR">CPU!$B$6</definedName>
    <definedName name="IR_bin">CPU!$D$6</definedName>
    <definedName name="IR_c_out_soru">CPU!$R$17</definedName>
    <definedName name="IR_c1">CPU!$R$14</definedName>
    <definedName name="IR_c1_ext">CPU!$O$19</definedName>
    <definedName name="IR_c1_out">CPU!$K$9</definedName>
    <definedName name="IR_c1_out_ext_uns">CPU!$Q$19</definedName>
    <definedName name="IR_c2">CPU!$S$14</definedName>
    <definedName name="IR_c2_ext">CPU!$O$20</definedName>
    <definedName name="IR_c2_out">CPU!$K$10</definedName>
    <definedName name="IR_c2_out_ext_uns">CPU!$Q$20</definedName>
    <definedName name="IR_c3">CPU!$T$14</definedName>
    <definedName name="IR_op">CPU!$N$14</definedName>
    <definedName name="IR_ra">CPU!$O$14</definedName>
    <definedName name="IR_rb">CPU!$P$14</definedName>
    <definedName name="IR_rc">CPU!$Q$14</definedName>
    <definedName name="IRin">CPU!$I$6</definedName>
    <definedName name="MA">CPU!$B$7</definedName>
    <definedName name="MAin">CPU!$I$7</definedName>
    <definedName name="MD">CPU!$B$8</definedName>
    <definedName name="MD_0">CPU!$Q$9</definedName>
    <definedName name="MD_1">CPU!$P$9</definedName>
    <definedName name="MD_2">CPU!$O$9</definedName>
    <definedName name="MD_3">CPU!$N$9</definedName>
    <definedName name="MDin">CPU!$I$8</definedName>
    <definedName name="MDout">CPU!$G$8</definedName>
    <definedName name="MDrd">CPU!$K$8</definedName>
    <definedName name="MDwr">CPU!$K$7</definedName>
    <definedName name="MemoryWords">Memory!$E$4</definedName>
    <definedName name="n">CPU!$U$14</definedName>
    <definedName name="NEG_Result">CPU!$I$26</definedName>
    <definedName name="NOT_Result">CPU!$I$25</definedName>
    <definedName name="op_error">CPU!$O$12</definedName>
    <definedName name="OR_Result">CPU!$I$24</definedName>
    <definedName name="PC">CPU!$B$5</definedName>
    <definedName name="PCin">CPU!$I$5</definedName>
    <definedName name="PCout">CPU!$G$5</definedName>
    <definedName name="Reg_0">CPU!$B$13</definedName>
    <definedName name="Reg_1">CPU!$B$14</definedName>
    <definedName name="Reg_10">CPU!$B$23</definedName>
    <definedName name="Reg_11">CPU!$B$24</definedName>
    <definedName name="Reg_12">CPU!$B$25</definedName>
    <definedName name="Reg_13">CPU!$B$26</definedName>
    <definedName name="Reg_14">CPU!$B$27</definedName>
    <definedName name="Reg_15">CPU!$B$28</definedName>
    <definedName name="Reg_16">CPU!$B$29</definedName>
    <definedName name="Reg_17">CPU!$B$30</definedName>
    <definedName name="Reg_18">CPU!$B$31</definedName>
    <definedName name="Reg_19">CPU!$B$32</definedName>
    <definedName name="Reg_2">CPU!$B$15</definedName>
    <definedName name="Reg_20">CPU!$B$33</definedName>
    <definedName name="Reg_21">CPU!$B$34</definedName>
    <definedName name="Reg_22">CPU!$B$35</definedName>
    <definedName name="Reg_23">CPU!$B$36</definedName>
    <definedName name="Reg_24">CPU!$B$37</definedName>
    <definedName name="Reg_25">CPU!$B$38</definedName>
    <definedName name="Reg_26">CPU!$B$39</definedName>
    <definedName name="Reg_27">CPU!$B$40</definedName>
    <definedName name="Reg_28">CPU!$B$41</definedName>
    <definedName name="Reg_29">CPU!$B$42</definedName>
    <definedName name="Reg_3">CPU!$B$16</definedName>
    <definedName name="Reg_30">CPU!$B$43</definedName>
    <definedName name="Reg_31">CPU!$B$44</definedName>
    <definedName name="Reg_4">CPU!$B$17</definedName>
    <definedName name="Reg_5">CPU!$B$18</definedName>
    <definedName name="Reg_6">CPU!$B$19</definedName>
    <definedName name="Reg_7">CPU!$B$20</definedName>
    <definedName name="Reg_8">CPU!$B$21</definedName>
    <definedName name="Reg_9">CPU!$B$22</definedName>
    <definedName name="Reg_A">CPU!$B$9</definedName>
    <definedName name="Reg_C">CPU!$B$10</definedName>
    <definedName name="Registers">CPU!$B$13:$B$44</definedName>
    <definedName name="Rin">CPU!$I$13</definedName>
    <definedName name="Rout">CPU!$G$13</definedName>
    <definedName name="run">CPU!$K$6</definedName>
    <definedName name="Running">CPU!$O$5</definedName>
    <definedName name="Sel_Reg">CPU!$H$17</definedName>
    <definedName name="Sel_Reg_Val">CPU!$I$17</definedName>
    <definedName name="SHC_Result">CPU!$I$31</definedName>
    <definedName name="SHL_Result">CPU!$I$30</definedName>
    <definedName name="SHR_Result">CPU!$I$28</definedName>
    <definedName name="SHRA_Result">CPU!$I$29</definedName>
    <definedName name="SUB_Result">CPU!$I$22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5" i="2" l="1"/>
  <c r="D205" i="2"/>
  <c r="E205" i="2"/>
  <c r="F205" i="2" s="1"/>
  <c r="C206" i="2"/>
  <c r="D206" i="2"/>
  <c r="E206" i="2"/>
  <c r="F206" i="2"/>
  <c r="C207" i="2"/>
  <c r="D207" i="2"/>
  <c r="E207" i="2"/>
  <c r="F207" i="2" s="1"/>
  <c r="O5" i="1"/>
  <c r="E4" i="2" l="1"/>
  <c r="D10" i="1" l="1"/>
  <c r="N14" i="1" l="1"/>
  <c r="T14" i="1"/>
  <c r="T15" i="1" s="1"/>
  <c r="S14" i="1"/>
  <c r="R14" i="1"/>
  <c r="O14" i="1"/>
  <c r="Q14" i="1"/>
  <c r="P14" i="1"/>
  <c r="H17" i="1" l="1"/>
  <c r="O19" i="1"/>
  <c r="P19" i="1" s="1"/>
  <c r="Q19" i="1"/>
  <c r="R19" i="1"/>
  <c r="R20" i="1"/>
  <c r="Q20" i="1"/>
  <c r="S15" i="1"/>
  <c r="O20" i="1"/>
  <c r="P20" i="1" s="1"/>
  <c r="R1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O15" i="1" l="1"/>
  <c r="P15" i="1"/>
  <c r="Q15" i="1"/>
  <c r="N15" i="1"/>
  <c r="Q9" i="1"/>
  <c r="Q10" i="1" s="1"/>
  <c r="N9" i="1"/>
  <c r="N10" i="1" s="1"/>
  <c r="P9" i="1"/>
  <c r="P10" i="1" s="1"/>
  <c r="O9" i="1"/>
  <c r="O10" i="1" s="1"/>
  <c r="D5" i="1" l="1"/>
  <c r="D6" i="1"/>
  <c r="D9" i="1"/>
  <c r="D8" i="1"/>
  <c r="D7" i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/>
  <c r="E37" i="2"/>
  <c r="F37" i="2"/>
  <c r="E38" i="2"/>
  <c r="F38" i="2" s="1"/>
  <c r="E39" i="2"/>
  <c r="F39" i="2"/>
  <c r="E40" i="2"/>
  <c r="F40" i="2" s="1"/>
  <c r="E41" i="2"/>
  <c r="F41" i="2" s="1"/>
  <c r="E42" i="2"/>
  <c r="F42" i="2" s="1"/>
  <c r="E43" i="2"/>
  <c r="F43" i="2" s="1"/>
  <c r="E44" i="2"/>
  <c r="F44" i="2"/>
  <c r="E45" i="2"/>
  <c r="F45" i="2" s="1"/>
  <c r="E46" i="2"/>
  <c r="F46" i="2" s="1"/>
  <c r="E47" i="2"/>
  <c r="F47" i="2" s="1"/>
  <c r="E48" i="2"/>
  <c r="F48" i="2"/>
  <c r="E49" i="2"/>
  <c r="F49" i="2"/>
  <c r="E50" i="2"/>
  <c r="F50" i="2" s="1"/>
  <c r="E51" i="2"/>
  <c r="F51" i="2" s="1"/>
  <c r="E52" i="2"/>
  <c r="F52" i="2"/>
  <c r="E53" i="2"/>
  <c r="F53" i="2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/>
  <c r="E60" i="2"/>
  <c r="F60" i="2"/>
  <c r="E61" i="2"/>
  <c r="F61" i="2"/>
  <c r="E62" i="2"/>
  <c r="F62" i="2" s="1"/>
  <c r="E63" i="2"/>
  <c r="F63" i="2"/>
  <c r="E64" i="2"/>
  <c r="F64" i="2"/>
  <c r="E65" i="2"/>
  <c r="F65" i="2"/>
  <c r="E66" i="2"/>
  <c r="F66" i="2" s="1"/>
  <c r="E67" i="2"/>
  <c r="F67" i="2"/>
  <c r="E68" i="2"/>
  <c r="F68" i="2"/>
  <c r="E69" i="2"/>
  <c r="F69" i="2" s="1"/>
  <c r="E70" i="2"/>
  <c r="F70" i="2" s="1"/>
  <c r="E71" i="2"/>
  <c r="F71" i="2" s="1"/>
  <c r="E72" i="2"/>
  <c r="F72" i="2"/>
  <c r="E73" i="2"/>
  <c r="F73" i="2"/>
  <c r="E74" i="2"/>
  <c r="F74" i="2" s="1"/>
  <c r="E75" i="2"/>
  <c r="F75" i="2" s="1"/>
  <c r="E76" i="2"/>
  <c r="F76" i="2"/>
  <c r="E77" i="2"/>
  <c r="F77" i="2"/>
  <c r="E78" i="2"/>
  <c r="F78" i="2" s="1"/>
  <c r="E79" i="2"/>
  <c r="F79" i="2" s="1"/>
  <c r="E80" i="2"/>
  <c r="F80" i="2"/>
  <c r="E81" i="2"/>
  <c r="F81" i="2" s="1"/>
  <c r="E82" i="2"/>
  <c r="F82" i="2" s="1"/>
  <c r="E83" i="2"/>
  <c r="F83" i="2" s="1"/>
  <c r="E84" i="2"/>
  <c r="F84" i="2"/>
  <c r="E85" i="2"/>
  <c r="F85" i="2"/>
  <c r="E86" i="2"/>
  <c r="F86" i="2" s="1"/>
  <c r="E87" i="2"/>
  <c r="F87" i="2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/>
  <c r="E96" i="2"/>
  <c r="F96" i="2" s="1"/>
  <c r="E97" i="2"/>
  <c r="F97" i="2"/>
  <c r="E98" i="2"/>
  <c r="F98" i="2" s="1"/>
  <c r="E99" i="2"/>
  <c r="F99" i="2" s="1"/>
  <c r="E100" i="2"/>
  <c r="F100" i="2"/>
  <c r="E101" i="2"/>
  <c r="F101" i="2" s="1"/>
  <c r="E102" i="2"/>
  <c r="F102" i="2" s="1"/>
  <c r="E103" i="2"/>
  <c r="F103" i="2" s="1"/>
  <c r="E104" i="2"/>
  <c r="F104" i="2"/>
  <c r="E105" i="2"/>
  <c r="F105" i="2" s="1"/>
  <c r="E106" i="2"/>
  <c r="F106" i="2" s="1"/>
  <c r="E107" i="2"/>
  <c r="F107" i="2"/>
  <c r="E108" i="2"/>
  <c r="F108" i="2" s="1"/>
  <c r="E109" i="2"/>
  <c r="F109" i="2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/>
  <c r="E117" i="2"/>
  <c r="F117" i="2" s="1"/>
  <c r="E118" i="2"/>
  <c r="F118" i="2" s="1"/>
  <c r="E119" i="2"/>
  <c r="F119" i="2" s="1"/>
  <c r="E120" i="2"/>
  <c r="F120" i="2" s="1"/>
  <c r="E121" i="2"/>
  <c r="F121" i="2"/>
  <c r="E122" i="2"/>
  <c r="F122" i="2" s="1"/>
  <c r="E123" i="2"/>
  <c r="F123" i="2" s="1"/>
  <c r="E124" i="2"/>
  <c r="F124" i="2"/>
  <c r="E125" i="2"/>
  <c r="F125" i="2" s="1"/>
  <c r="E126" i="2"/>
  <c r="F126" i="2" s="1"/>
  <c r="E127" i="2"/>
  <c r="F127" i="2" s="1"/>
  <c r="E128" i="2"/>
  <c r="F128" i="2"/>
  <c r="E129" i="2"/>
  <c r="F129" i="2"/>
  <c r="E130" i="2"/>
  <c r="F130" i="2" s="1"/>
  <c r="E131" i="2"/>
  <c r="F131" i="2" s="1"/>
  <c r="E132" i="2"/>
  <c r="F132" i="2"/>
  <c r="E133" i="2"/>
  <c r="F133" i="2" s="1"/>
  <c r="E134" i="2"/>
  <c r="F134" i="2" s="1"/>
  <c r="E135" i="2"/>
  <c r="F135" i="2"/>
  <c r="E136" i="2"/>
  <c r="F136" i="2"/>
  <c r="E137" i="2"/>
  <c r="F137" i="2"/>
  <c r="E138" i="2"/>
  <c r="F138" i="2" s="1"/>
  <c r="E139" i="2"/>
  <c r="F139" i="2"/>
  <c r="E140" i="2"/>
  <c r="F140" i="2" s="1"/>
  <c r="E141" i="2"/>
  <c r="F141" i="2" s="1"/>
  <c r="E142" i="2"/>
  <c r="F142" i="2" s="1"/>
  <c r="E143" i="2"/>
  <c r="F143" i="2" s="1"/>
  <c r="E144" i="2"/>
  <c r="F144" i="2"/>
  <c r="E145" i="2"/>
  <c r="F145" i="2"/>
  <c r="E146" i="2"/>
  <c r="F146" i="2" s="1"/>
  <c r="E147" i="2"/>
  <c r="F147" i="2" s="1"/>
  <c r="E148" i="2"/>
  <c r="F148" i="2"/>
  <c r="E149" i="2"/>
  <c r="F149" i="2"/>
  <c r="E150" i="2"/>
  <c r="F150" i="2" s="1"/>
  <c r="E151" i="2"/>
  <c r="F151" i="2"/>
  <c r="E152" i="2"/>
  <c r="F152" i="2" s="1"/>
  <c r="E153" i="2"/>
  <c r="F153" i="2"/>
  <c r="E154" i="2"/>
  <c r="F154" i="2" s="1"/>
  <c r="E155" i="2"/>
  <c r="F155" i="2"/>
  <c r="E156" i="2"/>
  <c r="F156" i="2" s="1"/>
  <c r="E157" i="2"/>
  <c r="F157" i="2" s="1"/>
  <c r="E158" i="2"/>
  <c r="F158" i="2" s="1"/>
  <c r="E159" i="2"/>
  <c r="F159" i="2" s="1"/>
  <c r="E160" i="2"/>
  <c r="F160" i="2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/>
  <c r="E168" i="2"/>
  <c r="F168" i="2"/>
  <c r="E169" i="2"/>
  <c r="F169" i="2" s="1"/>
  <c r="E170" i="2"/>
  <c r="F170" i="2" s="1"/>
  <c r="E171" i="2"/>
  <c r="F171" i="2" s="1"/>
  <c r="E172" i="2"/>
  <c r="F172" i="2" s="1"/>
  <c r="E173" i="2"/>
  <c r="F173" i="2"/>
  <c r="E174" i="2"/>
  <c r="F174" i="2" s="1"/>
  <c r="E175" i="2"/>
  <c r="F175" i="2"/>
  <c r="E176" i="2"/>
  <c r="F176" i="2"/>
  <c r="E177" i="2"/>
  <c r="F177" i="2" s="1"/>
  <c r="E178" i="2"/>
  <c r="F178" i="2" s="1"/>
  <c r="E179" i="2"/>
  <c r="F179" i="2" s="1"/>
  <c r="E180" i="2"/>
  <c r="F180" i="2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/>
  <c r="E189" i="2"/>
  <c r="F189" i="2" s="1"/>
  <c r="E190" i="2"/>
  <c r="F190" i="2" s="1"/>
  <c r="E191" i="2"/>
  <c r="F191" i="2" s="1"/>
  <c r="E192" i="2"/>
  <c r="F192" i="2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/>
  <c r="E200" i="2"/>
  <c r="F200" i="2"/>
  <c r="E201" i="2"/>
  <c r="F201" i="2" s="1"/>
  <c r="E202" i="2"/>
  <c r="F202" i="2" s="1"/>
  <c r="E203" i="2"/>
  <c r="F203" i="2" s="1"/>
  <c r="E204" i="2"/>
  <c r="F204" i="2" s="1"/>
  <c r="E14" i="2"/>
  <c r="F14" i="2" s="1"/>
  <c r="C16" i="2"/>
  <c r="D16" i="2"/>
  <c r="C17" i="2"/>
  <c r="D17" i="2"/>
  <c r="C18" i="2"/>
  <c r="D18" i="2"/>
  <c r="C19" i="2"/>
  <c r="D19" i="2"/>
  <c r="C20" i="2"/>
  <c r="D20" i="2"/>
  <c r="C21" i="2"/>
  <c r="D21" i="2"/>
  <c r="C22" i="2"/>
  <c r="D22" i="2"/>
  <c r="C23" i="2"/>
  <c r="D23" i="2"/>
  <c r="C24" i="2"/>
  <c r="D24" i="2"/>
  <c r="C25" i="2"/>
  <c r="D25" i="2"/>
  <c r="C26" i="2"/>
  <c r="D26" i="2"/>
  <c r="C27" i="2"/>
  <c r="D27" i="2"/>
  <c r="C28" i="2"/>
  <c r="D28" i="2"/>
  <c r="C29" i="2"/>
  <c r="D29" i="2"/>
  <c r="C30" i="2"/>
  <c r="D30" i="2"/>
  <c r="C31" i="2"/>
  <c r="D31" i="2"/>
  <c r="C32" i="2"/>
  <c r="D32" i="2"/>
  <c r="C33" i="2"/>
  <c r="D33" i="2"/>
  <c r="C34" i="2"/>
  <c r="D34" i="2"/>
  <c r="C35" i="2"/>
  <c r="D35" i="2"/>
  <c r="C36" i="2"/>
  <c r="D36" i="2"/>
  <c r="C37" i="2"/>
  <c r="D37" i="2"/>
  <c r="C38" i="2"/>
  <c r="D38" i="2"/>
  <c r="C39" i="2"/>
  <c r="D39" i="2"/>
  <c r="C40" i="2"/>
  <c r="D40" i="2"/>
  <c r="C41" i="2"/>
  <c r="D41" i="2"/>
  <c r="C42" i="2"/>
  <c r="D42" i="2"/>
  <c r="C43" i="2"/>
  <c r="D43" i="2"/>
  <c r="C44" i="2"/>
  <c r="D44" i="2"/>
  <c r="C45" i="2"/>
  <c r="D45" i="2"/>
  <c r="C46" i="2"/>
  <c r="D46" i="2"/>
  <c r="C47" i="2"/>
  <c r="D47" i="2"/>
  <c r="C48" i="2"/>
  <c r="D48" i="2"/>
  <c r="C49" i="2"/>
  <c r="D49" i="2"/>
  <c r="C50" i="2"/>
  <c r="D50" i="2"/>
  <c r="C51" i="2"/>
  <c r="D51" i="2"/>
  <c r="C52" i="2"/>
  <c r="D52" i="2"/>
  <c r="C53" i="2"/>
  <c r="D53" i="2"/>
  <c r="C54" i="2"/>
  <c r="D54" i="2"/>
  <c r="C55" i="2"/>
  <c r="D55" i="2"/>
  <c r="C56" i="2"/>
  <c r="D56" i="2"/>
  <c r="C57" i="2"/>
  <c r="D57" i="2"/>
  <c r="C58" i="2"/>
  <c r="D58" i="2"/>
  <c r="C59" i="2"/>
  <c r="D59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73" i="2"/>
  <c r="D73" i="2"/>
  <c r="C74" i="2"/>
  <c r="D74" i="2"/>
  <c r="C75" i="2"/>
  <c r="D75" i="2"/>
  <c r="C76" i="2"/>
  <c r="D76" i="2"/>
  <c r="C77" i="2"/>
  <c r="D77" i="2"/>
  <c r="C78" i="2"/>
  <c r="D78" i="2"/>
  <c r="C79" i="2"/>
  <c r="D79" i="2"/>
  <c r="C80" i="2"/>
  <c r="D80" i="2"/>
  <c r="C81" i="2"/>
  <c r="D81" i="2"/>
  <c r="C82" i="2"/>
  <c r="D82" i="2"/>
  <c r="C83" i="2"/>
  <c r="D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99" i="2"/>
  <c r="D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109" i="2"/>
  <c r="D109" i="2"/>
  <c r="C110" i="2"/>
  <c r="D110" i="2"/>
  <c r="C111" i="2"/>
  <c r="D111" i="2"/>
  <c r="C112" i="2"/>
  <c r="D112" i="2"/>
  <c r="C113" i="2"/>
  <c r="D113" i="2"/>
  <c r="C114" i="2"/>
  <c r="D114" i="2"/>
  <c r="C115" i="2"/>
  <c r="D115" i="2"/>
  <c r="C116" i="2"/>
  <c r="D116" i="2"/>
  <c r="C117" i="2"/>
  <c r="D117" i="2"/>
  <c r="C118" i="2"/>
  <c r="D118" i="2"/>
  <c r="C119" i="2"/>
  <c r="D119" i="2"/>
  <c r="C120" i="2"/>
  <c r="D120" i="2"/>
  <c r="C121" i="2"/>
  <c r="D121" i="2"/>
  <c r="C122" i="2"/>
  <c r="D122" i="2"/>
  <c r="C123" i="2"/>
  <c r="D123" i="2"/>
  <c r="C124" i="2"/>
  <c r="D124" i="2"/>
  <c r="C125" i="2"/>
  <c r="D125" i="2"/>
  <c r="C126" i="2"/>
  <c r="D126" i="2"/>
  <c r="C127" i="2"/>
  <c r="D127" i="2"/>
  <c r="C128" i="2"/>
  <c r="D128" i="2"/>
  <c r="C129" i="2"/>
  <c r="D129" i="2"/>
  <c r="C130" i="2"/>
  <c r="D130" i="2"/>
  <c r="C131" i="2"/>
  <c r="D131" i="2"/>
  <c r="C132" i="2"/>
  <c r="D132" i="2"/>
  <c r="C133" i="2"/>
  <c r="D133" i="2"/>
  <c r="C134" i="2"/>
  <c r="D134" i="2"/>
  <c r="C135" i="2"/>
  <c r="D135" i="2"/>
  <c r="C136" i="2"/>
  <c r="D136" i="2"/>
  <c r="C137" i="2"/>
  <c r="D137" i="2"/>
  <c r="C138" i="2"/>
  <c r="D138" i="2"/>
  <c r="C139" i="2"/>
  <c r="D139" i="2"/>
  <c r="C140" i="2"/>
  <c r="D140" i="2"/>
  <c r="C141" i="2"/>
  <c r="D141" i="2"/>
  <c r="C142" i="2"/>
  <c r="D142" i="2"/>
  <c r="C143" i="2"/>
  <c r="D143" i="2"/>
  <c r="C144" i="2"/>
  <c r="D144" i="2"/>
  <c r="C145" i="2"/>
  <c r="D145" i="2"/>
  <c r="C146" i="2"/>
  <c r="D146" i="2"/>
  <c r="C147" i="2"/>
  <c r="D147" i="2"/>
  <c r="C148" i="2"/>
  <c r="D148" i="2"/>
  <c r="C149" i="2"/>
  <c r="D149" i="2"/>
  <c r="C150" i="2"/>
  <c r="D150" i="2"/>
  <c r="C151" i="2"/>
  <c r="D151" i="2"/>
  <c r="C152" i="2"/>
  <c r="D152" i="2"/>
  <c r="C153" i="2"/>
  <c r="D153" i="2"/>
  <c r="C154" i="2"/>
  <c r="D154" i="2"/>
  <c r="C155" i="2"/>
  <c r="D155" i="2"/>
  <c r="C156" i="2"/>
  <c r="D156" i="2"/>
  <c r="C157" i="2"/>
  <c r="D157" i="2"/>
  <c r="C158" i="2"/>
  <c r="D158" i="2"/>
  <c r="C159" i="2"/>
  <c r="D159" i="2"/>
  <c r="C160" i="2"/>
  <c r="D160" i="2"/>
  <c r="C161" i="2"/>
  <c r="D161" i="2"/>
  <c r="C162" i="2"/>
  <c r="D162" i="2"/>
  <c r="C163" i="2"/>
  <c r="D163" i="2"/>
  <c r="C164" i="2"/>
  <c r="D164" i="2"/>
  <c r="C165" i="2"/>
  <c r="D165" i="2"/>
  <c r="C166" i="2"/>
  <c r="D166" i="2"/>
  <c r="C167" i="2"/>
  <c r="D167" i="2"/>
  <c r="C168" i="2"/>
  <c r="D168" i="2"/>
  <c r="C169" i="2"/>
  <c r="D169" i="2"/>
  <c r="C170" i="2"/>
  <c r="D170" i="2"/>
  <c r="C171" i="2"/>
  <c r="D171" i="2"/>
  <c r="C172" i="2"/>
  <c r="D172" i="2"/>
  <c r="C173" i="2"/>
  <c r="D173" i="2"/>
  <c r="C174" i="2"/>
  <c r="D174" i="2"/>
  <c r="C175" i="2"/>
  <c r="D175" i="2"/>
  <c r="C176" i="2"/>
  <c r="D176" i="2"/>
  <c r="C177" i="2"/>
  <c r="D177" i="2"/>
  <c r="C178" i="2"/>
  <c r="D178" i="2"/>
  <c r="C179" i="2"/>
  <c r="D179" i="2"/>
  <c r="C180" i="2"/>
  <c r="D180" i="2"/>
  <c r="C181" i="2"/>
  <c r="D181" i="2"/>
  <c r="C182" i="2"/>
  <c r="D182" i="2"/>
  <c r="C183" i="2"/>
  <c r="D183" i="2"/>
  <c r="C184" i="2"/>
  <c r="D184" i="2"/>
  <c r="C185" i="2"/>
  <c r="D185" i="2"/>
  <c r="C186" i="2"/>
  <c r="D186" i="2"/>
  <c r="C187" i="2"/>
  <c r="D187" i="2"/>
  <c r="C188" i="2"/>
  <c r="D188" i="2"/>
  <c r="C189" i="2"/>
  <c r="D189" i="2"/>
  <c r="C190" i="2"/>
  <c r="D190" i="2"/>
  <c r="C191" i="2"/>
  <c r="D191" i="2"/>
  <c r="C192" i="2"/>
  <c r="D192" i="2"/>
  <c r="C193" i="2"/>
  <c r="D193" i="2"/>
  <c r="C194" i="2"/>
  <c r="D194" i="2"/>
  <c r="C195" i="2"/>
  <c r="D195" i="2"/>
  <c r="C196" i="2"/>
  <c r="D196" i="2"/>
  <c r="C197" i="2"/>
  <c r="D197" i="2"/>
  <c r="C198" i="2"/>
  <c r="D198" i="2"/>
  <c r="C199" i="2"/>
  <c r="D199" i="2"/>
  <c r="C200" i="2"/>
  <c r="D200" i="2"/>
  <c r="C201" i="2"/>
  <c r="D201" i="2"/>
  <c r="C202" i="2"/>
  <c r="D202" i="2"/>
  <c r="C203" i="2"/>
  <c r="D203" i="2"/>
  <c r="C204" i="2"/>
  <c r="D204" i="2"/>
  <c r="C15" i="2"/>
  <c r="D15" i="2"/>
  <c r="C14" i="2"/>
  <c r="D14" i="2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U14" i="1" l="1"/>
  <c r="V14" i="1"/>
  <c r="V15" i="1" s="1"/>
  <c r="F10" i="2"/>
  <c r="E5" i="2"/>
  <c r="F5" i="2" s="1"/>
  <c r="E6" i="2"/>
  <c r="F6" i="2" s="1"/>
  <c r="E7" i="2"/>
  <c r="F7" i="2" s="1"/>
  <c r="E8" i="2"/>
  <c r="F8" i="2" s="1"/>
  <c r="E9" i="2"/>
  <c r="F9" i="2" s="1"/>
  <c r="E10" i="2"/>
  <c r="E11" i="2"/>
  <c r="F11" i="2" s="1"/>
  <c r="E12" i="2"/>
  <c r="F12" i="2" s="1"/>
  <c r="E13" i="2"/>
  <c r="F13" i="2" s="1"/>
  <c r="F4" i="2"/>
  <c r="D5" i="2"/>
  <c r="D6" i="2"/>
  <c r="D7" i="2"/>
  <c r="D8" i="2"/>
  <c r="D9" i="2"/>
  <c r="D10" i="2"/>
  <c r="D11" i="2"/>
  <c r="D12" i="2"/>
  <c r="D13" i="2"/>
  <c r="D4" i="2"/>
  <c r="C5" i="2"/>
  <c r="C6" i="2"/>
  <c r="C7" i="2"/>
  <c r="C8" i="2"/>
  <c r="C9" i="2"/>
  <c r="C10" i="2"/>
  <c r="C11" i="2"/>
  <c r="C12" i="2"/>
  <c r="C13" i="2"/>
  <c r="C4" i="2"/>
  <c r="C9" i="1"/>
  <c r="C10" i="1"/>
  <c r="C8" i="1"/>
  <c r="C7" i="1"/>
  <c r="C6" i="1"/>
  <c r="C5" i="1"/>
  <c r="U15" i="1" l="1"/>
  <c r="I17" i="1" l="1"/>
  <c r="I30" i="1"/>
  <c r="I31" i="1"/>
  <c r="I29" i="1"/>
  <c r="B3" i="1" l="1"/>
  <c r="I24" i="1" s="1"/>
  <c r="J24" i="1" s="1"/>
  <c r="J30" i="1"/>
  <c r="J31" i="1"/>
  <c r="J29" i="1"/>
  <c r="I28" i="1"/>
  <c r="I25" i="1"/>
  <c r="C3" i="1" l="1"/>
  <c r="I21" i="1"/>
  <c r="J21" i="1" s="1"/>
  <c r="I26" i="1"/>
  <c r="J26" i="1" s="1"/>
  <c r="I22" i="1"/>
  <c r="J22" i="1" s="1"/>
  <c r="D3" i="1"/>
  <c r="I27" i="1"/>
  <c r="J27" i="1" s="1"/>
  <c r="J25" i="1"/>
  <c r="I23" i="1"/>
  <c r="J23" i="1" s="1"/>
  <c r="I20" i="1"/>
  <c r="J20" i="1" s="1"/>
  <c r="J28" i="1"/>
  <c r="G19" i="1" l="1"/>
  <c r="H19" i="1" s="1"/>
</calcChain>
</file>

<file path=xl/sharedStrings.xml><?xml version="1.0" encoding="utf-8"?>
<sst xmlns="http://schemas.openxmlformats.org/spreadsheetml/2006/main" count="84" uniqueCount="72">
  <si>
    <t>SRC</t>
  </si>
  <si>
    <t>PC</t>
  </si>
  <si>
    <t>IR</t>
  </si>
  <si>
    <t>MA</t>
  </si>
  <si>
    <t>MD</t>
  </si>
  <si>
    <t>A</t>
  </si>
  <si>
    <t>C</t>
  </si>
  <si>
    <t>Hex</t>
  </si>
  <si>
    <t>BUS</t>
  </si>
  <si>
    <t>Dec</t>
  </si>
  <si>
    <t>Addr</t>
  </si>
  <si>
    <t>Byte</t>
  </si>
  <si>
    <t>Bin</t>
  </si>
  <si>
    <t>Word</t>
  </si>
  <si>
    <t>Reg_0</t>
  </si>
  <si>
    <t>Reg_1</t>
  </si>
  <si>
    <t>Reg_2</t>
  </si>
  <si>
    <t>Reg_3</t>
  </si>
  <si>
    <t>Reg_4</t>
  </si>
  <si>
    <t>Reg_5</t>
  </si>
  <si>
    <t>Reg_6</t>
  </si>
  <si>
    <t>Reg_7</t>
  </si>
  <si>
    <t>Reg_8</t>
  </si>
  <si>
    <t>Reg_9</t>
  </si>
  <si>
    <t>Reg_10</t>
  </si>
  <si>
    <t>Reg_11</t>
  </si>
  <si>
    <t>Reg_12</t>
  </si>
  <si>
    <t>Reg_13</t>
  </si>
  <si>
    <t>Reg_14</t>
  </si>
  <si>
    <t>Reg_15</t>
  </si>
  <si>
    <t>Reg_16</t>
  </si>
  <si>
    <t>Reg_17</t>
  </si>
  <si>
    <t>Reg_18</t>
  </si>
  <si>
    <t>Reg_19</t>
  </si>
  <si>
    <t>Reg_20</t>
  </si>
  <si>
    <t>Reg_21</t>
  </si>
  <si>
    <t>Reg_22</t>
  </si>
  <si>
    <t>Reg_23</t>
  </si>
  <si>
    <t>Reg_24</t>
  </si>
  <si>
    <t>Reg_25</t>
  </si>
  <si>
    <t>Reg_26</t>
  </si>
  <si>
    <t>Reg_27</t>
  </si>
  <si>
    <t>Reg_28</t>
  </si>
  <si>
    <t>Reg_29</t>
  </si>
  <si>
    <t>Reg_30</t>
  </si>
  <si>
    <t>Reg_31</t>
  </si>
  <si>
    <t>n</t>
  </si>
  <si>
    <t>Binary</t>
  </si>
  <si>
    <t>md3</t>
  </si>
  <si>
    <t>md1</t>
  </si>
  <si>
    <t>md0</t>
  </si>
  <si>
    <t>md2</t>
  </si>
  <si>
    <t>MD Bytes</t>
  </si>
  <si>
    <t>IR Parts</t>
  </si>
  <si>
    <t>Op</t>
  </si>
  <si>
    <t>ra</t>
  </si>
  <si>
    <t>rb</t>
  </si>
  <si>
    <t>rc</t>
  </si>
  <si>
    <t>c1</t>
  </si>
  <si>
    <t>c2</t>
  </si>
  <si>
    <t>c3</t>
  </si>
  <si>
    <t xml:space="preserve">ALU </t>
  </si>
  <si>
    <t>Value</t>
  </si>
  <si>
    <t>cond</t>
  </si>
  <si>
    <t>Sign Ext.</t>
  </si>
  <si>
    <t>Sel. Reg.</t>
  </si>
  <si>
    <t>Clock Step</t>
  </si>
  <si>
    <t>T0</t>
  </si>
  <si>
    <t>Special</t>
  </si>
  <si>
    <t>Control Sigs</t>
  </si>
  <si>
    <t>Gen Reg</t>
  </si>
  <si>
    <t>Gen Reg Sigs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</si>
</sst>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7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3" fillId="2" borderId="2" xfId="0" applyFont="1" applyFill="1" applyBorder="1" applyAlignment="1">
      <alignment horizontal="right"/>
    </xf>
    <xf numFmtId="0" fontId="3" fillId="2" borderId="3" xfId="0" applyFont="1" applyFill="1" applyBorder="1" applyAlignment="1">
      <alignment horizontal="right"/>
    </xf>
    <xf numFmtId="0" fontId="3" fillId="2" borderId="4" xfId="0" applyFont="1" applyFill="1" applyBorder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right"/>
    </xf>
    <xf numFmtId="0" fontId="3" fillId="2" borderId="6" xfId="0" applyFont="1" applyFill="1" applyBorder="1" applyAlignment="1">
      <alignment horizontal="right"/>
    </xf>
    <xf numFmtId="0" fontId="3" fillId="2" borderId="5" xfId="0" applyFont="1" applyFill="1" applyBorder="1"/>
    <xf numFmtId="0" fontId="3" fillId="2" borderId="0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9" xfId="0" applyFont="1" applyFill="1" applyBorder="1" applyAlignment="1">
      <alignment horizontal="right"/>
    </xf>
    <xf numFmtId="1" fontId="3" fillId="2" borderId="7" xfId="0" applyNumberFormat="1" applyFont="1" applyFill="1" applyBorder="1" applyAlignment="1">
      <alignment horizontal="right"/>
    </xf>
    <xf numFmtId="1" fontId="3" fillId="2" borderId="9" xfId="0" applyNumberFormat="1" applyFont="1" applyFill="1" applyBorder="1" applyAlignment="1">
      <alignment horizontal="right"/>
    </xf>
    <xf numFmtId="0" fontId="3" fillId="2" borderId="7" xfId="0" applyFont="1" applyFill="1" applyBorder="1" applyAlignment="1">
      <alignment horizontal="right"/>
    </xf>
    <xf numFmtId="0" fontId="3" fillId="2" borderId="8" xfId="0" applyFont="1" applyFill="1" applyBorder="1" applyAlignment="1">
      <alignment horizontal="right"/>
    </xf>
    <xf numFmtId="0" fontId="3" fillId="2" borderId="2" xfId="0" applyFont="1" applyFill="1" applyBorder="1"/>
    <xf numFmtId="0" fontId="3" fillId="2" borderId="3" xfId="0" applyFont="1" applyFill="1" applyBorder="1"/>
    <xf numFmtId="0" fontId="3" fillId="2" borderId="6" xfId="0" applyFont="1" applyFill="1" applyBorder="1"/>
    <xf numFmtId="0" fontId="3" fillId="2" borderId="9" xfId="0" applyFont="1" applyFill="1" applyBorder="1"/>
    <xf numFmtId="0" fontId="3" fillId="2" borderId="13" xfId="0" applyFont="1" applyFill="1" applyBorder="1"/>
    <xf numFmtId="0" fontId="3" fillId="2" borderId="13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11" xfId="0" applyFont="1" applyFill="1" applyBorder="1"/>
    <xf numFmtId="0" fontId="3" fillId="2" borderId="10" xfId="0" applyFont="1" applyFill="1" applyBorder="1" applyAlignment="1">
      <alignment horizontal="right"/>
    </xf>
    <xf numFmtId="0" fontId="3" fillId="2" borderId="13" xfId="0" applyFont="1" applyFill="1" applyBorder="1" applyAlignment="1">
      <alignment horizontal="right"/>
    </xf>
    <xf numFmtId="0" fontId="3" fillId="2" borderId="11" xfId="0" applyFont="1" applyFill="1" applyBorder="1" applyAlignment="1">
      <alignment horizontal="right"/>
    </xf>
    <xf numFmtId="164" fontId="3" fillId="2" borderId="4" xfId="0" applyNumberFormat="1" applyFont="1" applyFill="1" applyBorder="1" applyAlignment="1">
      <alignment horizontal="right"/>
    </xf>
    <xf numFmtId="1" fontId="3" fillId="2" borderId="11" xfId="0" applyNumberFormat="1" applyFont="1" applyFill="1" applyBorder="1" applyAlignment="1">
      <alignment horizontal="right"/>
    </xf>
    <xf numFmtId="0" fontId="2" fillId="2" borderId="1" xfId="0" applyFont="1" applyFill="1" applyBorder="1"/>
    <xf numFmtId="0" fontId="0" fillId="3" borderId="0" xfId="0" applyFill="1" applyBorder="1"/>
    <xf numFmtId="0" fontId="3" fillId="2" borderId="8" xfId="0" applyFont="1" applyFill="1" applyBorder="1" applyAlignment="1">
      <alignment horizontal="left"/>
    </xf>
    <xf numFmtId="0" fontId="3" fillId="2" borderId="9" xfId="0" applyFont="1" applyFill="1" applyBorder="1" applyAlignment="1">
      <alignment horizontal="left"/>
    </xf>
    <xf numFmtId="0" fontId="3" fillId="2" borderId="12" xfId="0" applyFont="1" applyFill="1" applyBorder="1" applyAlignment="1">
      <alignment horizontal="left"/>
    </xf>
    <xf numFmtId="0" fontId="3" fillId="2" borderId="1" xfId="0" applyFont="1" applyFill="1" applyBorder="1"/>
    <xf numFmtId="0" fontId="3" fillId="2" borderId="1" xfId="0" applyFont="1" applyFill="1" applyBorder="1" applyAlignment="1">
      <alignment horizontal="left"/>
    </xf>
    <xf numFmtId="1" fontId="3" fillId="2" borderId="1" xfId="0" applyNumberFormat="1" applyFont="1" applyFill="1" applyBorder="1" applyAlignment="1">
      <alignment horizontal="right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PCout" lockText="1"/>
</file>

<file path=xl/ctrlProps/ctrlProp2.xml><?xml version="1.0" encoding="utf-8"?>
<formControlPr xmlns="http://schemas.microsoft.com/office/spreadsheetml/2009/9/main" objectType="CheckBox" fmlaLink="MDout" lockText="1"/>
</file>

<file path=xl/ctrlProps/ctrlProp3.xml><?xml version="1.0" encoding="utf-8"?>
<formControlPr xmlns="http://schemas.microsoft.com/office/spreadsheetml/2009/9/main" objectType="CheckBox" fmlaLink="MDin" lockText="1"/>
</file>

<file path=xl/ctrlProps/ctrlProp4.xml><?xml version="1.0" encoding="utf-8"?>
<formControlPr xmlns="http://schemas.microsoft.com/office/spreadsheetml/2009/9/main" objectType="CheckBox" fmlaLink="MAin" lockText="1"/>
</file>

<file path=xl/ctrlProps/ctrlProp5.xml><?xml version="1.0" encoding="utf-8"?>
<formControlPr xmlns="http://schemas.microsoft.com/office/spreadsheetml/2009/9/main" objectType="CheckBox" fmlaLink="MDrd" lockText="1"/>
</file>

<file path=xl/ctrlProps/ctrlProp6.xml><?xml version="1.0" encoding="utf-8"?>
<formControlPr xmlns="http://schemas.microsoft.com/office/spreadsheetml/2009/9/main" objectType="CheckBox" fmlaLink="MDwr" lockText="1"/>
</file>

<file path=xl/ctrlProps/ctrlProp7.xml><?xml version="1.0" encoding="utf-8"?>
<formControlPr xmlns="http://schemas.microsoft.com/office/spreadsheetml/2009/9/main" objectType="CheckBox" fmlaLink="$I$5" lockText="1"/>
</file>

<file path=xl/ctrlProps/ctrlProp8.xml><?xml version="1.0" encoding="utf-8"?>
<formControlPr xmlns="http://schemas.microsoft.com/office/spreadsheetml/2009/9/main" objectType="CheckBox" fmlaLink="$I$6" lockText="1"/>
</file>

<file path=xl/ctrlProps/ctrlProp9.xml><?xml version="1.0" encoding="utf-8"?>
<formControlPr xmlns="http://schemas.microsoft.com/office/spreadsheetml/2009/9/main" objectType="CheckBox" fmlaLink="Ain" lockText="1"/>
</file>

<file path=xl/ctrlProps/ctrlProp10.xml><?xml version="1.0" encoding="utf-8"?>
<formControlPr xmlns="http://schemas.microsoft.com/office/spreadsheetml/2009/9/main" objectType="CheckBox" fmlaLink="$I$10" lockText="1"/>
</file>

<file path=xl/ctrlProps/ctrlProp11.xml><?xml version="1.0" encoding="utf-8"?>
<formControlPr xmlns="http://schemas.microsoft.com/office/spreadsheetml/2009/9/main" objectType="CheckBox" fmlaLink="$G$10" lockText="1"/>
</file>

<file path=xl/ctrlProps/ctrlProp12.xml><?xml version="1.0" encoding="utf-8"?>
<formControlPr xmlns="http://schemas.microsoft.com/office/spreadsheetml/2009/9/main" objectType="CheckBox" fmlaLink="$G$13" lockText="1"/>
</file>

<file path=xl/ctrlProps/ctrlProp13.xml><?xml version="1.0" encoding="utf-8"?>
<formControlPr xmlns="http://schemas.microsoft.com/office/spreadsheetml/2009/9/main" objectType="CheckBox" fmlaLink="Rin" lockText="1"/>
</file>

<file path=xl/ctrlProps/ctrlProp14.xml><?xml version="1.0" encoding="utf-8"?>
<formControlPr xmlns="http://schemas.microsoft.com/office/spreadsheetml/2009/9/main" objectType="CheckBox" fmlaLink="BAout" lockText="1"/>
</file>

<file path=xl/ctrlProps/ctrlProp15.xml><?xml version="1.0" encoding="utf-8"?>
<formControlPr xmlns="http://schemas.microsoft.com/office/spreadsheetml/2009/9/main" objectType="CheckBox" fmlaLink="$G$14" lockText="1"/>
</file>

<file path=xl/ctrlProps/ctrlProp16.xml><?xml version="1.0" encoding="utf-8"?>
<formControlPr xmlns="http://schemas.microsoft.com/office/spreadsheetml/2009/9/main" objectType="CheckBox" fmlaLink="Grb" lockText="1"/>
</file>

<file path=xl/ctrlProps/ctrlProp17.xml><?xml version="1.0" encoding="utf-8"?>
<formControlPr xmlns="http://schemas.microsoft.com/office/spreadsheetml/2009/9/main" objectType="CheckBox" fmlaLink="Grc" lockText="1"/>
</file>

<file path=xl/ctrlProps/ctrlProp18.xml><?xml version="1.0" encoding="utf-8"?>
<formControlPr xmlns="http://schemas.microsoft.com/office/spreadsheetml/2009/9/main" objectType="CheckBox" fmlaLink="ALU_INC4" lockText="1"/>
</file>

<file path=xl/ctrlProps/ctrlProp19.xml><?xml version="1.0" encoding="utf-8"?>
<formControlPr xmlns="http://schemas.microsoft.com/office/spreadsheetml/2009/9/main" objectType="CheckBox" fmlaLink="ALU_ADD" lockText="1"/>
</file>

<file path=xl/ctrlProps/ctrlProp20.xml><?xml version="1.0" encoding="utf-8"?>
<formControlPr xmlns="http://schemas.microsoft.com/office/spreadsheetml/2009/9/main" objectType="CheckBox" fmlaLink="ALU_SUB" lockText="1"/>
</file>

<file path=xl/ctrlProps/ctrlProp21.xml><?xml version="1.0" encoding="utf-8"?>
<formControlPr xmlns="http://schemas.microsoft.com/office/spreadsheetml/2009/9/main" objectType="CheckBox" fmlaLink="ALU_AND" lockText="1"/>
</file>

<file path=xl/ctrlProps/ctrlProp22.xml><?xml version="1.0" encoding="utf-8"?>
<formControlPr xmlns="http://schemas.microsoft.com/office/spreadsheetml/2009/9/main" objectType="CheckBox" fmlaLink="ALU_OR" lockText="1"/>
</file>

<file path=xl/ctrlProps/ctrlProp23.xml><?xml version="1.0" encoding="utf-8"?>
<formControlPr xmlns="http://schemas.microsoft.com/office/spreadsheetml/2009/9/main" objectType="CheckBox" fmlaLink="ALU_NOT" lockText="1"/>
</file>

<file path=xl/ctrlProps/ctrlProp24.xml><?xml version="1.0" encoding="utf-8"?>
<formControlPr xmlns="http://schemas.microsoft.com/office/spreadsheetml/2009/9/main" objectType="CheckBox" fmlaLink="ALU_NEG" lockText="1"/>
</file>

<file path=xl/ctrlProps/ctrlProp25.xml><?xml version="1.0" encoding="utf-8"?>
<formControlPr xmlns="http://schemas.microsoft.com/office/spreadsheetml/2009/9/main" objectType="CheckBox" fmlaLink="ALU_CB" lockText="1"/>
</file>

<file path=xl/ctrlProps/ctrlProp26.xml><?xml version="1.0" encoding="utf-8"?>
<formControlPr xmlns="http://schemas.microsoft.com/office/spreadsheetml/2009/9/main" objectType="CheckBox" fmlaLink="ALU_SHR" lockText="1"/>
</file>

<file path=xl/ctrlProps/ctrlProp27.xml><?xml version="1.0" encoding="utf-8"?>
<formControlPr xmlns="http://schemas.microsoft.com/office/spreadsheetml/2009/9/main" objectType="CheckBox" fmlaLink="ALU_SHRA" lockText="1"/>
</file>

<file path=xl/ctrlProps/ctrlProp28.xml><?xml version="1.0" encoding="utf-8"?>
<formControlPr xmlns="http://schemas.microsoft.com/office/spreadsheetml/2009/9/main" objectType="CheckBox" fmlaLink="ALU_SHL" lockText="1"/>
</file>

<file path=xl/ctrlProps/ctrlProp29.xml><?xml version="1.0" encoding="utf-8"?>
<formControlPr xmlns="http://schemas.microsoft.com/office/spreadsheetml/2009/9/main" objectType="CheckBox" fmlaLink="ALU_SHC" lockText="1"/>
</file>

<file path=xl/ctrlProps/ctrlProp30.xml><?xml version="1.0" encoding="utf-8"?>
<formControlPr xmlns="http://schemas.microsoft.com/office/spreadsheetml/2009/9/main" objectType="CheckBox" fmlaLink="IR_c1_out" lockText="1"/>
</file>

<file path=xl/ctrlProps/ctrlProp31.xml><?xml version="1.0" encoding="utf-8"?>
<formControlPr xmlns="http://schemas.microsoft.com/office/spreadsheetml/2009/9/main" objectType="CheckBox" fmlaLink="IR_c2_out" lockText="1"/>
</file>

<file path=xl/ctrlProps/ctrlProp32.xml><?xml version="1.0" encoding="utf-8"?>
<formControlPr xmlns="http://schemas.microsoft.com/office/spreadsheetml/2009/9/main" objectType="Radio" checked="Checked" firstButton="1" fmlaLink="$R$17" lockText="1"/>
</file>

<file path=xl/ctrlProps/ctrlProp33.xml><?xml version="1.0" encoding="utf-8"?>
<formControlPr xmlns="http://schemas.microsoft.com/office/spreadsheetml/2009/9/main" objectType="Radio" lockText="1"/>
</file>

<file path=xl/ctrlProps/ctrlProp34.xml><?xml version="1.0" encoding="utf-8"?>
<formControlPr xmlns="http://schemas.microsoft.com/office/spreadsheetml/2009/9/main" objectType="CheckBox" fmlaLink="ru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4</xdr:row>
          <xdr:rowOff>45720</xdr:rowOff>
        </xdr:from>
        <xdr:to>
          <xdr:col>7</xdr:col>
          <xdr:colOff>601980</xdr:colOff>
          <xdr:row>4</xdr:row>
          <xdr:rowOff>213360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6</xdr:row>
          <xdr:rowOff>175260</xdr:rowOff>
        </xdr:from>
        <xdr:to>
          <xdr:col>7</xdr:col>
          <xdr:colOff>571500</xdr:colOff>
          <xdr:row>8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MDout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6</xdr:row>
          <xdr:rowOff>175260</xdr:rowOff>
        </xdr:from>
        <xdr:to>
          <xdr:col>9</xdr:col>
          <xdr:colOff>579120</xdr:colOff>
          <xdr:row>8</xdr:row>
          <xdr:rowOff>30480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MDin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5</xdr:row>
          <xdr:rowOff>160020</xdr:rowOff>
        </xdr:from>
        <xdr:to>
          <xdr:col>9</xdr:col>
          <xdr:colOff>571500</xdr:colOff>
          <xdr:row>7</xdr:row>
          <xdr:rowOff>15240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0</xdr:row>
          <xdr:rowOff>160020</xdr:rowOff>
        </xdr:from>
        <xdr:to>
          <xdr:col>5</xdr:col>
          <xdr:colOff>198120</xdr:colOff>
          <xdr:row>2</xdr:row>
          <xdr:rowOff>83820</xdr:rowOff>
        </xdr:to>
        <xdr:sp macro="" textlink="">
          <xdr:nvSpPr>
            <xdr:cNvPr id="1029" name="Strob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6</xdr:row>
          <xdr:rowOff>175260</xdr:rowOff>
        </xdr:from>
        <xdr:to>
          <xdr:col>11</xdr:col>
          <xdr:colOff>556260</xdr:colOff>
          <xdr:row>7</xdr:row>
          <xdr:rowOff>167640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MDrd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5</xdr:row>
          <xdr:rowOff>167640</xdr:rowOff>
        </xdr:from>
        <xdr:to>
          <xdr:col>11</xdr:col>
          <xdr:colOff>563880</xdr:colOff>
          <xdr:row>6</xdr:row>
          <xdr:rowOff>167640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MDwr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4</xdr:row>
          <xdr:rowOff>38100</xdr:rowOff>
        </xdr:from>
        <xdr:to>
          <xdr:col>9</xdr:col>
          <xdr:colOff>563880</xdr:colOff>
          <xdr:row>4</xdr:row>
          <xdr:rowOff>220980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PCin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4</xdr:row>
          <xdr:rowOff>205740</xdr:rowOff>
        </xdr:from>
        <xdr:to>
          <xdr:col>9</xdr:col>
          <xdr:colOff>563880</xdr:colOff>
          <xdr:row>5</xdr:row>
          <xdr:rowOff>175260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IRin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7</xdr:row>
          <xdr:rowOff>175260</xdr:rowOff>
        </xdr:from>
        <xdr:to>
          <xdr:col>9</xdr:col>
          <xdr:colOff>579120</xdr:colOff>
          <xdr:row>9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8</xdr:row>
          <xdr:rowOff>167640</xdr:rowOff>
        </xdr:from>
        <xdr:to>
          <xdr:col>9</xdr:col>
          <xdr:colOff>594360</xdr:colOff>
          <xdr:row>10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8</xdr:row>
          <xdr:rowOff>167640</xdr:rowOff>
        </xdr:from>
        <xdr:to>
          <xdr:col>8</xdr:col>
          <xdr:colOff>0</xdr:colOff>
          <xdr:row>10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11</xdr:row>
          <xdr:rowOff>175260</xdr:rowOff>
        </xdr:from>
        <xdr:to>
          <xdr:col>7</xdr:col>
          <xdr:colOff>541020</xdr:colOff>
          <xdr:row>12</xdr:row>
          <xdr:rowOff>167640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11</xdr:row>
          <xdr:rowOff>167640</xdr:rowOff>
        </xdr:from>
        <xdr:to>
          <xdr:col>9</xdr:col>
          <xdr:colOff>601980</xdr:colOff>
          <xdr:row>13</xdr:row>
          <xdr:rowOff>7620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11</xdr:row>
          <xdr:rowOff>175260</xdr:rowOff>
        </xdr:from>
        <xdr:to>
          <xdr:col>11</xdr:col>
          <xdr:colOff>548640</xdr:colOff>
          <xdr:row>13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12</xdr:row>
          <xdr:rowOff>175260</xdr:rowOff>
        </xdr:from>
        <xdr:to>
          <xdr:col>7</xdr:col>
          <xdr:colOff>541020</xdr:colOff>
          <xdr:row>13</xdr:row>
          <xdr:rowOff>167640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167640</xdr:rowOff>
        </xdr:from>
        <xdr:to>
          <xdr:col>9</xdr:col>
          <xdr:colOff>579120</xdr:colOff>
          <xdr:row>14</xdr:row>
          <xdr:rowOff>30480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22860</xdr:colOff>
          <xdr:row>12</xdr:row>
          <xdr:rowOff>167640</xdr:rowOff>
        </xdr:from>
        <xdr:to>
          <xdr:col>11</xdr:col>
          <xdr:colOff>563880</xdr:colOff>
          <xdr:row>13</xdr:row>
          <xdr:rowOff>167640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167640</xdr:rowOff>
        </xdr:from>
        <xdr:to>
          <xdr:col>7</xdr:col>
          <xdr:colOff>556260</xdr:colOff>
          <xdr:row>20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19</xdr:row>
          <xdr:rowOff>160020</xdr:rowOff>
        </xdr:from>
        <xdr:to>
          <xdr:col>7</xdr:col>
          <xdr:colOff>556260</xdr:colOff>
          <xdr:row>21</xdr:row>
          <xdr:rowOff>15240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20</xdr:row>
          <xdr:rowOff>167640</xdr:rowOff>
        </xdr:from>
        <xdr:to>
          <xdr:col>7</xdr:col>
          <xdr:colOff>571500</xdr:colOff>
          <xdr:row>22</xdr:row>
          <xdr:rowOff>7620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21</xdr:row>
          <xdr:rowOff>167640</xdr:rowOff>
        </xdr:from>
        <xdr:to>
          <xdr:col>7</xdr:col>
          <xdr:colOff>601980</xdr:colOff>
          <xdr:row>23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22</xdr:row>
          <xdr:rowOff>152400</xdr:rowOff>
        </xdr:from>
        <xdr:to>
          <xdr:col>7</xdr:col>
          <xdr:colOff>601980</xdr:colOff>
          <xdr:row>24</xdr:row>
          <xdr:rowOff>15240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167640</xdr:rowOff>
        </xdr:from>
        <xdr:to>
          <xdr:col>7</xdr:col>
          <xdr:colOff>579120</xdr:colOff>
          <xdr:row>25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24</xdr:row>
          <xdr:rowOff>167640</xdr:rowOff>
        </xdr:from>
        <xdr:to>
          <xdr:col>8</xdr:col>
          <xdr:colOff>0</xdr:colOff>
          <xdr:row>26</xdr:row>
          <xdr:rowOff>7620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25</xdr:row>
          <xdr:rowOff>160020</xdr:rowOff>
        </xdr:from>
        <xdr:to>
          <xdr:col>7</xdr:col>
          <xdr:colOff>594360</xdr:colOff>
          <xdr:row>27</xdr:row>
          <xdr:rowOff>30480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C=B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26</xdr:row>
          <xdr:rowOff>167640</xdr:rowOff>
        </xdr:from>
        <xdr:to>
          <xdr:col>7</xdr:col>
          <xdr:colOff>579120</xdr:colOff>
          <xdr:row>28</xdr:row>
          <xdr:rowOff>0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27</xdr:row>
          <xdr:rowOff>175260</xdr:rowOff>
        </xdr:from>
        <xdr:to>
          <xdr:col>7</xdr:col>
          <xdr:colOff>579120</xdr:colOff>
          <xdr:row>29</xdr:row>
          <xdr:rowOff>15240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28</xdr:row>
          <xdr:rowOff>167640</xdr:rowOff>
        </xdr:from>
        <xdr:to>
          <xdr:col>7</xdr:col>
          <xdr:colOff>579120</xdr:colOff>
          <xdr:row>30</xdr:row>
          <xdr:rowOff>0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29</xdr:row>
          <xdr:rowOff>175260</xdr:rowOff>
        </xdr:from>
        <xdr:to>
          <xdr:col>7</xdr:col>
          <xdr:colOff>571500</xdr:colOff>
          <xdr:row>31</xdr:row>
          <xdr:rowOff>15240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</xdr:row>
          <xdr:rowOff>175260</xdr:rowOff>
        </xdr:from>
        <xdr:to>
          <xdr:col>11</xdr:col>
          <xdr:colOff>579120</xdr:colOff>
          <xdr:row>9</xdr:row>
          <xdr:rowOff>30480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c1out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</xdr:row>
          <xdr:rowOff>167640</xdr:rowOff>
        </xdr:from>
        <xdr:to>
          <xdr:col>11</xdr:col>
          <xdr:colOff>579120</xdr:colOff>
          <xdr:row>10</xdr:row>
          <xdr:rowOff>22860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c2out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0</xdr:row>
          <xdr:rowOff>129540</xdr:rowOff>
        </xdr:from>
        <xdr:to>
          <xdr:col>10</xdr:col>
          <xdr:colOff>472440</xdr:colOff>
          <xdr:row>2</xdr:row>
          <xdr:rowOff>53340</xdr:rowOff>
        </xdr:to>
        <xdr:sp macro="" textlink="">
          <xdr:nvSpPr>
            <xdr:cNvPr id="1062" name="Clea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640080</xdr:colOff>
          <xdr:row>16</xdr:row>
          <xdr:rowOff>15240</xdr:rowOff>
        </xdr:from>
        <xdr:to>
          <xdr:col>15</xdr:col>
          <xdr:colOff>0</xdr:colOff>
          <xdr:row>17</xdr:row>
          <xdr:rowOff>15240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Signed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548640</xdr:colOff>
          <xdr:row>15</xdr:row>
          <xdr:rowOff>175260</xdr:rowOff>
        </xdr:from>
        <xdr:to>
          <xdr:col>17</xdr:col>
          <xdr:colOff>205740</xdr:colOff>
          <xdr:row>17</xdr:row>
          <xdr:rowOff>30480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Unsigned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274320</xdr:colOff>
          <xdr:row>0</xdr:row>
          <xdr:rowOff>152400</xdr:rowOff>
        </xdr:from>
        <xdr:to>
          <xdr:col>5</xdr:col>
          <xdr:colOff>807720</xdr:colOff>
          <xdr:row>2</xdr:row>
          <xdr:rowOff>76200</xdr:rowOff>
        </xdr:to>
        <xdr:sp macro="" textlink="">
          <xdr:nvSpPr>
            <xdr:cNvPr id="1067" name="Fetch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144780</xdr:colOff>
          <xdr:row>0</xdr:row>
          <xdr:rowOff>137160</xdr:rowOff>
        </xdr:from>
        <xdr:to>
          <xdr:col>9</xdr:col>
          <xdr:colOff>678180</xdr:colOff>
          <xdr:row>2</xdr:row>
          <xdr:rowOff>60960</xdr:rowOff>
        </xdr:to>
        <xdr:sp macro="" textlink="">
          <xdr:nvSpPr>
            <xdr:cNvPr id="1068" name="Step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</xdr:colOff>
          <xdr:row>0</xdr:row>
          <xdr:rowOff>160020</xdr:rowOff>
        </xdr:from>
        <xdr:to>
          <xdr:col>7</xdr:col>
          <xdr:colOff>76200</xdr:colOff>
          <xdr:row>2</xdr:row>
          <xdr:rowOff>76200</xdr:rowOff>
        </xdr:to>
        <xdr:sp macro="" textlink="">
          <xdr:nvSpPr>
            <xdr:cNvPr id="1069" name="Execut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144780</xdr:colOff>
          <xdr:row>0</xdr:row>
          <xdr:rowOff>152400</xdr:rowOff>
        </xdr:from>
        <xdr:to>
          <xdr:col>9</xdr:col>
          <xdr:colOff>38100</xdr:colOff>
          <xdr:row>2</xdr:row>
          <xdr:rowOff>53340</xdr:rowOff>
        </xdr:to>
        <xdr:sp macro="" textlink="">
          <xdr:nvSpPr>
            <xdr:cNvPr id="1070" name="Fetch_Execu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525780</xdr:colOff>
          <xdr:row>0</xdr:row>
          <xdr:rowOff>129540</xdr:rowOff>
        </xdr:from>
        <xdr:to>
          <xdr:col>11</xdr:col>
          <xdr:colOff>350520</xdr:colOff>
          <xdr:row>2</xdr:row>
          <xdr:rowOff>53340</xdr:rowOff>
        </xdr:to>
        <xdr:sp macro="" textlink="">
          <xdr:nvSpPr>
            <xdr:cNvPr id="1072" name="Reset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4</xdr:row>
          <xdr:rowOff>205740</xdr:rowOff>
        </xdr:from>
        <xdr:to>
          <xdr:col>12</xdr:col>
          <xdr:colOff>243840</xdr:colOff>
          <xdr:row>6</xdr:row>
          <xdr:rowOff>7620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403860</xdr:colOff>
          <xdr:row>0</xdr:row>
          <xdr:rowOff>129540</xdr:rowOff>
        </xdr:from>
        <xdr:to>
          <xdr:col>12</xdr:col>
          <xdr:colOff>327660</xdr:colOff>
          <xdr:row>2</xdr:row>
          <xdr:rowOff>53340</xdr:rowOff>
        </xdr:to>
        <xdr:sp macro="" textlink="">
          <xdr:nvSpPr>
            <xdr:cNvPr id="1075" name="Run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7.xml"/><Relationship Id="rId39" Type="http://schemas.openxmlformats.org/officeDocument/2006/relationships/ctrlProp" Target="../ctrlProps/ctrlProp20.xml"/><Relationship Id="rId21" Type="http://schemas.openxmlformats.org/officeDocument/2006/relationships/ctrlProp" Target="../ctrlProps/ctrlProp2.xml"/><Relationship Id="rId34" Type="http://schemas.openxmlformats.org/officeDocument/2006/relationships/ctrlProp" Target="../ctrlProps/ctrlProp15.xml"/><Relationship Id="rId42" Type="http://schemas.openxmlformats.org/officeDocument/2006/relationships/ctrlProp" Target="../ctrlProps/ctrlProp23.xml"/><Relationship Id="rId47" Type="http://schemas.openxmlformats.org/officeDocument/2006/relationships/ctrlProp" Target="../ctrlProps/ctrlProp28.xml"/><Relationship Id="rId50" Type="http://schemas.openxmlformats.org/officeDocument/2006/relationships/ctrlProp" Target="../ctrlProps/ctrlProp31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0.xml"/><Relationship Id="rId11" Type="http://schemas.openxmlformats.org/officeDocument/2006/relationships/image" Target="../media/image4.emf"/><Relationship Id="rId24" Type="http://schemas.openxmlformats.org/officeDocument/2006/relationships/ctrlProp" Target="../ctrlProps/ctrlProp5.xml"/><Relationship Id="rId32" Type="http://schemas.openxmlformats.org/officeDocument/2006/relationships/ctrlProp" Target="../ctrlProps/ctrlProp13.xml"/><Relationship Id="rId37" Type="http://schemas.openxmlformats.org/officeDocument/2006/relationships/ctrlProp" Target="../ctrlProps/ctrlProp18.xml"/><Relationship Id="rId40" Type="http://schemas.openxmlformats.org/officeDocument/2006/relationships/ctrlProp" Target="../ctrlProps/ctrlProp21.xml"/><Relationship Id="rId45" Type="http://schemas.openxmlformats.org/officeDocument/2006/relationships/ctrlProp" Target="../ctrlProps/ctrlProp26.xml"/><Relationship Id="rId53" Type="http://schemas.openxmlformats.org/officeDocument/2006/relationships/ctrlProp" Target="../ctrlProps/ctrlProp34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trlProp" Target="../ctrlProps/ctrlProp12.xml"/><Relationship Id="rId44" Type="http://schemas.openxmlformats.org/officeDocument/2006/relationships/ctrlProp" Target="../ctrlProps/ctrlProp25.xml"/><Relationship Id="rId52" Type="http://schemas.openxmlformats.org/officeDocument/2006/relationships/ctrlProp" Target="../ctrlProps/ctrlProp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Relationship Id="rId27" Type="http://schemas.openxmlformats.org/officeDocument/2006/relationships/ctrlProp" Target="../ctrlProps/ctrlProp8.xml"/><Relationship Id="rId30" Type="http://schemas.openxmlformats.org/officeDocument/2006/relationships/ctrlProp" Target="../ctrlProps/ctrlProp11.xml"/><Relationship Id="rId35" Type="http://schemas.openxmlformats.org/officeDocument/2006/relationships/ctrlProp" Target="../ctrlProps/ctrlProp16.xml"/><Relationship Id="rId43" Type="http://schemas.openxmlformats.org/officeDocument/2006/relationships/ctrlProp" Target="../ctrlProps/ctrlProp24.xml"/><Relationship Id="rId48" Type="http://schemas.openxmlformats.org/officeDocument/2006/relationships/ctrlProp" Target="../ctrlProps/ctrlProp29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32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6.xml"/><Relationship Id="rId33" Type="http://schemas.openxmlformats.org/officeDocument/2006/relationships/ctrlProp" Target="../ctrlProps/ctrlProp14.xml"/><Relationship Id="rId38" Type="http://schemas.openxmlformats.org/officeDocument/2006/relationships/ctrlProp" Target="../ctrlProps/ctrlProp19.xml"/><Relationship Id="rId46" Type="http://schemas.openxmlformats.org/officeDocument/2006/relationships/ctrlProp" Target="../ctrlProps/ctrlProp27.xml"/><Relationship Id="rId20" Type="http://schemas.openxmlformats.org/officeDocument/2006/relationships/ctrlProp" Target="../ctrlProps/ctrlProp1.xml"/><Relationship Id="rId41" Type="http://schemas.openxmlformats.org/officeDocument/2006/relationships/ctrlProp" Target="../ctrlProps/ctrlProp2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28" Type="http://schemas.openxmlformats.org/officeDocument/2006/relationships/ctrlProp" Target="../ctrlProps/ctrlProp9.xml"/><Relationship Id="rId36" Type="http://schemas.openxmlformats.org/officeDocument/2006/relationships/ctrlProp" Target="../ctrlProps/ctrlProp17.xml"/><Relationship Id="rId49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4"/>
  <sheetViews>
    <sheetView showGridLines="0" tabSelected="1" zoomScale="85" zoomScaleNormal="85" workbookViewId="0">
      <selection activeCell="B6" sqref="B6"/>
    </sheetView>
  </sheetViews>
  <sheetFormatPr defaultRowHeight="14.4" x14ac:dyDescent="0.3"/>
  <cols>
    <col min="2" max="2" width="11.33203125" bestFit="1" customWidth="1"/>
    <col min="3" max="3" width="9.21875" style="1" customWidth="1"/>
    <col min="4" max="4" width="33.6640625" style="1" bestFit="1" customWidth="1"/>
    <col min="6" max="6" width="12" bestFit="1" customWidth="1"/>
    <col min="10" max="10" width="12.44140625" bestFit="1" customWidth="1"/>
    <col min="11" max="11" width="10.44140625" bestFit="1" customWidth="1"/>
    <col min="14" max="14" width="11.33203125" bestFit="1" customWidth="1"/>
    <col min="16" max="16" width="10" bestFit="1" customWidth="1"/>
    <col min="19" max="19" width="9.6640625" bestFit="1" customWidth="1"/>
  </cols>
  <sheetData>
    <row r="1" spans="1:22" x14ac:dyDescent="0.3">
      <c r="E1" s="33"/>
      <c r="F1" s="33"/>
      <c r="G1" s="33"/>
      <c r="H1" s="33"/>
      <c r="I1" s="33"/>
      <c r="J1" s="33"/>
      <c r="K1" s="33"/>
      <c r="L1" s="33"/>
      <c r="M1" s="33"/>
    </row>
    <row r="2" spans="1:22" x14ac:dyDescent="0.3">
      <c r="A2" s="32" t="s">
        <v>0</v>
      </c>
      <c r="B2" s="23" t="s">
        <v>9</v>
      </c>
      <c r="C2" s="24" t="s">
        <v>7</v>
      </c>
      <c r="D2" s="25" t="s">
        <v>47</v>
      </c>
      <c r="E2" s="33"/>
      <c r="F2" s="33"/>
      <c r="G2" s="33"/>
      <c r="H2" s="33"/>
      <c r="I2" s="33"/>
      <c r="J2" s="33"/>
      <c r="K2" s="33"/>
      <c r="L2" s="33"/>
      <c r="M2" s="33"/>
    </row>
    <row r="3" spans="1:22" ht="18" x14ac:dyDescent="0.35">
      <c r="A3" s="10" t="s">
        <v>8</v>
      </c>
      <c r="B3" s="11">
        <f>IF(PCout,PC,0)+IF(MDout,MD,0)+IF(Cout,Reg_C,0)+IF(Rout,Sel_Reg_Val,0)+IF(BAout,IF(Sel_Reg=0,0,Sel_Reg_Val),0)+IF(AND(IR_c_out_soru=1,IR_c1_out),IF(IR_c1_ext&gt;=0,IR_c1_ext,2^32+IR_c1_ext),0)+IF(AND(IR_c_out_soru=1,IR_c2_out),IF(IR_c2_ext&gt;=0,IR_c2_ext, 2^32+IR_c2_ext),0)+IF(AND(IR_c_out_soru=2,IR_c1_out),IR_c1_out_ext_uns,0)+IF(AND(IR_c_out_soru=2,IR_c2_out),IR_c2_out_ext_uns,0)</f>
        <v>0</v>
      </c>
      <c r="C3" s="8" t="str">
        <f>DEC2HEX(BUS,8)</f>
        <v>00000000</v>
      </c>
      <c r="D3" s="9" t="str">
        <f>DEC2BIN(MOD(QUOTIENT(BUS,256^3),256),8)&amp;DEC2BIN(MOD(QUOTIENT(BUS,256^2),256),8)&amp;DEC2BIN(MOD(QUOTIENT(BUS,256^1),256),8)&amp;DEC2BIN(MOD(QUOTIENT(BUS,256^0),256),8)</f>
        <v>00000000000000000000000000000000</v>
      </c>
      <c r="E3" s="33"/>
      <c r="F3" s="33"/>
      <c r="G3" s="33"/>
      <c r="H3" s="33"/>
      <c r="I3" s="33"/>
      <c r="J3" s="33"/>
      <c r="K3" s="33"/>
      <c r="L3" s="33"/>
      <c r="M3" s="33"/>
      <c r="O3" s="40" t="s">
        <v>66</v>
      </c>
      <c r="P3" s="41"/>
    </row>
    <row r="4" spans="1:22" ht="18" x14ac:dyDescent="0.35">
      <c r="A4" s="10"/>
      <c r="B4" s="11"/>
      <c r="C4" s="8"/>
      <c r="D4" s="9"/>
      <c r="F4" s="37" t="s">
        <v>69</v>
      </c>
      <c r="G4" s="23"/>
      <c r="H4" s="23"/>
      <c r="I4" s="23"/>
      <c r="J4" s="23"/>
      <c r="K4" s="23"/>
      <c r="L4" s="26"/>
      <c r="O4" s="42" t="s">
        <v>67</v>
      </c>
      <c r="P4" s="43"/>
    </row>
    <row r="5" spans="1:22" ht="18" x14ac:dyDescent="0.35">
      <c r="A5" s="10" t="s">
        <v>1</v>
      </c>
      <c r="B5" s="11">
        <v>0</v>
      </c>
      <c r="C5" s="8" t="str">
        <f>DEC2HEX(PC,8)</f>
        <v>00000000</v>
      </c>
      <c r="D5" s="9" t="str">
        <f>DEC2BIN(MOD(QUOTIENT(PC,256^3),256),8)&amp;DEC2BIN(MOD(QUOTIENT(PC,256^2),256),8)&amp;DEC2BIN(MOD(QUOTIENT(PC,256^1),256),8)&amp;DEC2BIN(MOD(QUOTIENT(PC,256^0),256),8)</f>
        <v>00000000000000000000000000000000</v>
      </c>
      <c r="F5" s="10"/>
      <c r="G5" s="11" t="b">
        <v>0</v>
      </c>
      <c r="H5" s="11"/>
      <c r="I5" s="11" t="b">
        <v>0</v>
      </c>
      <c r="J5" s="11"/>
      <c r="K5" s="11"/>
      <c r="L5" s="21"/>
      <c r="O5" s="44" t="str">
        <f>IF(run,"Running","Stopped")</f>
        <v>Stopped</v>
      </c>
      <c r="P5" s="45"/>
    </row>
    <row r="6" spans="1:22" x14ac:dyDescent="0.3">
      <c r="A6" s="10" t="s">
        <v>2</v>
      </c>
      <c r="B6" s="11">
        <v>0</v>
      </c>
      <c r="C6" s="8" t="str">
        <f>DEC2HEX(IR,8)</f>
        <v>00000000</v>
      </c>
      <c r="D6" s="9" t="str">
        <f>DEC2BIN(MOD(QUOTIENT(IR,256^3),256),8)&amp;DEC2BIN(MOD(QUOTIENT(IR,256^2),256),8)&amp;DEC2BIN(MOD(QUOTIENT(IR,256^1),256),8)&amp;DEC2BIN(MOD(QUOTIENT(IR,256^0),256),8)</f>
        <v>00000000000000000000000000000000</v>
      </c>
      <c r="F6" s="10"/>
      <c r="G6" s="11"/>
      <c r="H6" s="11"/>
      <c r="I6" s="11" t="b">
        <v>0</v>
      </c>
      <c r="J6" s="11"/>
      <c r="K6" s="11" t="b">
        <v>0</v>
      </c>
      <c r="L6" s="21"/>
    </row>
    <row r="7" spans="1:22" x14ac:dyDescent="0.3">
      <c r="A7" s="10" t="s">
        <v>3</v>
      </c>
      <c r="B7" s="11">
        <v>0</v>
      </c>
      <c r="C7" s="8" t="str">
        <f>DEC2HEX(MA,8)</f>
        <v>00000000</v>
      </c>
      <c r="D7" s="9" t="str">
        <f>DEC2BIN(MOD(QUOTIENT(MA,256^3),256),8)&amp;DEC2BIN(MOD(QUOTIENT(MA,256^2),256),8)&amp;DEC2BIN(MOD(QUOTIENT(MA,256^1),256),8)&amp;DEC2BIN(MOD(QUOTIENT(MA,256^0),256),8)</f>
        <v>00000000000000000000000000000000</v>
      </c>
      <c r="F7" s="10"/>
      <c r="G7" s="11"/>
      <c r="H7" s="11"/>
      <c r="I7" s="11" t="b">
        <v>0</v>
      </c>
      <c r="J7" s="11"/>
      <c r="K7" s="11" t="b">
        <v>0</v>
      </c>
      <c r="L7" s="21"/>
      <c r="N7" s="37" t="s">
        <v>52</v>
      </c>
      <c r="O7" s="23"/>
      <c r="P7" s="23"/>
      <c r="Q7" s="26"/>
    </row>
    <row r="8" spans="1:22" x14ac:dyDescent="0.3">
      <c r="A8" s="10" t="s">
        <v>4</v>
      </c>
      <c r="B8" s="11">
        <v>0</v>
      </c>
      <c r="C8" s="8" t="str">
        <f>DEC2HEX(MD,8)</f>
        <v>00000000</v>
      </c>
      <c r="D8" s="9" t="str">
        <f>DEC2BIN(MOD(QUOTIENT(MD,256^3),256),8)&amp;DEC2BIN(MOD(QUOTIENT(MD,256^2),256),8)&amp;DEC2BIN(MOD(QUOTIENT(MD,256^1),256),8)&amp;DEC2BIN(MOD(QUOTIENT(MD,256^0),256),8)</f>
        <v>00000000000000000000000000000000</v>
      </c>
      <c r="F8" s="10"/>
      <c r="G8" s="11" t="b">
        <v>0</v>
      </c>
      <c r="H8" s="11"/>
      <c r="I8" s="11" t="b">
        <v>0</v>
      </c>
      <c r="J8" s="11"/>
      <c r="K8" s="11" t="b">
        <v>0</v>
      </c>
      <c r="L8" s="21"/>
      <c r="N8" s="6" t="s">
        <v>48</v>
      </c>
      <c r="O8" s="8" t="s">
        <v>51</v>
      </c>
      <c r="P8" s="8" t="s">
        <v>49</v>
      </c>
      <c r="Q8" s="9" t="s">
        <v>50</v>
      </c>
    </row>
    <row r="9" spans="1:22" x14ac:dyDescent="0.3">
      <c r="A9" s="10" t="s">
        <v>5</v>
      </c>
      <c r="B9" s="11">
        <v>0</v>
      </c>
      <c r="C9" s="8" t="str">
        <f>DEC2HEX(Reg_A,8)</f>
        <v>00000000</v>
      </c>
      <c r="D9" s="9" t="str">
        <f>DEC2BIN(MOD(QUOTIENT(Reg_A,256^3),256),8)&amp;DEC2BIN(MOD(QUOTIENT(Reg_A,256^2),256),8)&amp;DEC2BIN(MOD(QUOTIENT(Reg_A,256^1),256),8)&amp;DEC2BIN(MOD(QUOTIENT(Reg_A,256^0),256),8)</f>
        <v>00000000000000000000000000000000</v>
      </c>
      <c r="F9" s="10"/>
      <c r="G9" s="11"/>
      <c r="H9" s="11"/>
      <c r="I9" s="11" t="b">
        <v>0</v>
      </c>
      <c r="J9" s="11"/>
      <c r="K9" s="11" t="b">
        <v>0</v>
      </c>
      <c r="L9" s="21"/>
      <c r="N9" s="10">
        <f>TRUNC(MD/2^24)</f>
        <v>0</v>
      </c>
      <c r="O9" s="11">
        <f>MOD(TRUNC(MD/2^16),2^8)</f>
        <v>0</v>
      </c>
      <c r="P9" s="11">
        <f>MOD(TRUNC(MD/2^8),2^8)</f>
        <v>0</v>
      </c>
      <c r="Q9" s="21">
        <f>MOD(MD,2^8)</f>
        <v>0</v>
      </c>
    </row>
    <row r="10" spans="1:22" x14ac:dyDescent="0.3">
      <c r="A10" s="12" t="s">
        <v>6</v>
      </c>
      <c r="B10" s="11">
        <v>0</v>
      </c>
      <c r="C10" s="18" t="str">
        <f>DEC2HEX(Reg_C,8)</f>
        <v>00000000</v>
      </c>
      <c r="D10" s="14" t="str">
        <f>DEC2BIN(MOD(QUOTIENT(Reg_C,256^3),256),8)&amp;DEC2BIN(MOD(QUOTIENT(Reg_C,256^2),256),8)&amp;DEC2BIN(MOD(QUOTIENT(Reg_C,256^1),256),8)&amp;DEC2BIN(MOD(QUOTIENT(Reg_C,256^0),256),8)</f>
        <v>00000000000000000000000000000000</v>
      </c>
      <c r="F10" s="12"/>
      <c r="G10" s="13" t="b">
        <v>0</v>
      </c>
      <c r="H10" s="13"/>
      <c r="I10" s="13" t="b">
        <v>0</v>
      </c>
      <c r="J10" s="13"/>
      <c r="K10" s="13" t="b">
        <v>0</v>
      </c>
      <c r="L10" s="22"/>
      <c r="N10" s="17" t="str">
        <f>DEC2HEX(MD_3,2)</f>
        <v>00</v>
      </c>
      <c r="O10" s="18" t="str">
        <f>DEC2HEX(MD_2,2)</f>
        <v>00</v>
      </c>
      <c r="P10" s="18" t="str">
        <f>DEC2HEX(MD_1,2)</f>
        <v>00</v>
      </c>
      <c r="Q10" s="14" t="str">
        <f>DEC2HEX(Q9,2)</f>
        <v>00</v>
      </c>
    </row>
    <row r="12" spans="1:22" x14ac:dyDescent="0.3">
      <c r="A12" s="37" t="s">
        <v>70</v>
      </c>
      <c r="B12" s="23" t="s">
        <v>9</v>
      </c>
      <c r="C12" s="24" t="s">
        <v>7</v>
      </c>
      <c r="D12" s="25" t="s">
        <v>47</v>
      </c>
      <c r="F12" s="37" t="s">
        <v>71</v>
      </c>
      <c r="G12" s="23"/>
      <c r="H12" s="23"/>
      <c r="I12" s="23"/>
      <c r="J12" s="23"/>
      <c r="K12" s="23"/>
      <c r="L12" s="26"/>
      <c r="N12" s="38" t="s">
        <v>53</v>
      </c>
      <c r="O12" s="28"/>
      <c r="P12" s="28"/>
      <c r="Q12" s="28"/>
      <c r="R12" s="28"/>
      <c r="S12" s="28"/>
      <c r="T12" s="29"/>
      <c r="U12" s="38" t="s">
        <v>68</v>
      </c>
      <c r="V12" s="29"/>
    </row>
    <row r="13" spans="1:22" x14ac:dyDescent="0.3">
      <c r="A13" s="10" t="s">
        <v>14</v>
      </c>
      <c r="B13" s="20">
        <v>0</v>
      </c>
      <c r="C13" s="8" t="str">
        <f>DEC2HEX(Reg_0,8)</f>
        <v>00000000</v>
      </c>
      <c r="D13" s="9" t="str">
        <f>DEC2BIN(MOD(QUOTIENT(Reg_0,256^3),256),8)&amp;DEC2BIN(MOD(QUOTIENT(Reg_0,256^2),256),8)&amp;DEC2BIN(MOD(QUOTIENT(Reg_0,256^1),256),8)&amp;DEC2BIN(MOD(QUOTIENT(Reg_0,256^0),256),8)</f>
        <v>00000000000000000000000000000000</v>
      </c>
      <c r="F13" s="10"/>
      <c r="G13" s="11" t="b">
        <v>0</v>
      </c>
      <c r="H13" s="11"/>
      <c r="I13" s="11" t="b">
        <v>0</v>
      </c>
      <c r="J13" s="11"/>
      <c r="K13" s="11" t="b">
        <v>0</v>
      </c>
      <c r="L13" s="21"/>
      <c r="N13" s="6" t="s">
        <v>54</v>
      </c>
      <c r="O13" s="8" t="s">
        <v>55</v>
      </c>
      <c r="P13" s="8" t="s">
        <v>56</v>
      </c>
      <c r="Q13" s="8" t="s">
        <v>57</v>
      </c>
      <c r="R13" s="8" t="s">
        <v>58</v>
      </c>
      <c r="S13" s="8" t="s">
        <v>59</v>
      </c>
      <c r="T13" s="9" t="s">
        <v>60</v>
      </c>
      <c r="U13" s="8" t="s">
        <v>46</v>
      </c>
      <c r="V13" s="9" t="s">
        <v>63</v>
      </c>
    </row>
    <row r="14" spans="1:22" x14ac:dyDescent="0.3">
      <c r="A14" s="10" t="s">
        <v>15</v>
      </c>
      <c r="B14" s="11">
        <v>1</v>
      </c>
      <c r="C14" s="8" t="str">
        <f>DEC2HEX(Reg_1,8)</f>
        <v>00000001</v>
      </c>
      <c r="D14" s="9" t="str">
        <f>DEC2BIN(MOD(QUOTIENT(Reg_1,256^3),256),8)&amp;DEC2BIN(MOD(QUOTIENT(Reg_1,256^2),256),8)&amp;DEC2BIN(MOD(QUOTIENT(Reg_1,256^1),256),8)&amp;DEC2BIN(MOD(QUOTIENT(Reg_1,256^0),256),8)</f>
        <v>00000000000000000000000000000001</v>
      </c>
      <c r="F14" s="12"/>
      <c r="G14" s="13" t="b">
        <v>0</v>
      </c>
      <c r="H14" s="13"/>
      <c r="I14" s="13" t="b">
        <v>0</v>
      </c>
      <c r="J14" s="13"/>
      <c r="K14" s="13" t="b">
        <v>0</v>
      </c>
      <c r="L14" s="22"/>
      <c r="N14" s="6">
        <f>TRUNC(IR/2^27)</f>
        <v>0</v>
      </c>
      <c r="O14" s="8">
        <f>_xlfn.FLOOR.MATH(MOD(TRUNC(IR)/2^22, 2^5))</f>
        <v>0</v>
      </c>
      <c r="P14" s="8">
        <f>_xlfn.FLOOR.MATH(MOD(TRUNC(IR)/2^17, 2^5))</f>
        <v>0</v>
      </c>
      <c r="Q14" s="8">
        <f>_xlfn.FLOOR.MATH(MOD(TRUNC(IR)/2^12, 2^5))</f>
        <v>0</v>
      </c>
      <c r="R14" s="8">
        <f>_xlfn.FLOOR.MATH(MOD(IR,2^22))</f>
        <v>0</v>
      </c>
      <c r="S14" s="8">
        <f>_xlfn.FLOOR.MATH(MOD(IR,2^17))</f>
        <v>0</v>
      </c>
      <c r="T14" s="9">
        <f>_xlfn.FLOOR.MATH(MOD(IR,2^12))</f>
        <v>0</v>
      </c>
      <c r="U14" s="8">
        <f>BIN2DEC(RIGHT(IR_bin,5))</f>
        <v>0</v>
      </c>
      <c r="V14" s="9">
        <f>BIN2DEC(RIGHT(IR_bin,3))</f>
        <v>0</v>
      </c>
    </row>
    <row r="15" spans="1:22" x14ac:dyDescent="0.3">
      <c r="A15" s="10" t="s">
        <v>16</v>
      </c>
      <c r="B15" s="11">
        <v>2</v>
      </c>
      <c r="C15" s="8" t="str">
        <f>DEC2HEX(Reg_2,8)</f>
        <v>00000002</v>
      </c>
      <c r="D15" s="9" t="str">
        <f>DEC2BIN(MOD(QUOTIENT(Reg_2,256^3),256),8)&amp;DEC2BIN(MOD(QUOTIENT(Reg_2,256^2),256),8)&amp;DEC2BIN(MOD(QUOTIENT(Reg_2,256^1),256),8)&amp;DEC2BIN(MOD(QUOTIENT(Reg_2,256^0),256),8)</f>
        <v>00000000000000000000000000000010</v>
      </c>
      <c r="N15" s="17" t="str">
        <f>DEC2HEX(IR_op,2)</f>
        <v>00</v>
      </c>
      <c r="O15" s="18" t="str">
        <f>DEC2HEX(IR_ra,2)</f>
        <v>00</v>
      </c>
      <c r="P15" s="18" t="str">
        <f>DEC2HEX(IR_rb,2)</f>
        <v>00</v>
      </c>
      <c r="Q15" s="18" t="str">
        <f>DEC2HEX(IR_rc,2)</f>
        <v>00</v>
      </c>
      <c r="R15" s="18" t="str">
        <f>DEC2HEX(IR_c1,6)</f>
        <v>000000</v>
      </c>
      <c r="S15" s="18" t="str">
        <f>DEC2HEX(IR_c2,5)</f>
        <v>00000</v>
      </c>
      <c r="T15" s="14" t="str">
        <f>DEC2HEX(IR_c3,3)</f>
        <v>000</v>
      </c>
      <c r="U15" s="18" t="str">
        <f>DEC2HEX(n,2)</f>
        <v>00</v>
      </c>
      <c r="V15" s="14" t="str">
        <f>DEC2HEX(cond,1)</f>
        <v>0</v>
      </c>
    </row>
    <row r="16" spans="1:22" x14ac:dyDescent="0.3">
      <c r="A16" s="10" t="s">
        <v>17</v>
      </c>
      <c r="B16" s="11">
        <v>3</v>
      </c>
      <c r="C16" s="8" t="str">
        <f>DEC2HEX(Reg_3,8)</f>
        <v>00000003</v>
      </c>
      <c r="D16" s="9" t="str">
        <f>DEC2BIN(MOD(QUOTIENT(Reg_3,256^3),256),8)&amp;DEC2BIN(MOD(QUOTIENT(Reg_3,256^2),256),8)&amp;DEC2BIN(MOD(QUOTIENT(Reg_3,256^1),256),8)&amp;DEC2BIN(MOD(QUOTIENT(Reg_3,256^0),256),8)</f>
        <v>00000000000000000000000000000011</v>
      </c>
      <c r="H16" s="39" t="s">
        <v>65</v>
      </c>
      <c r="I16" s="31" t="s">
        <v>62</v>
      </c>
      <c r="N16" s="2"/>
      <c r="O16" s="2"/>
      <c r="P16" s="2"/>
      <c r="Q16" s="2"/>
      <c r="R16" s="2"/>
      <c r="S16" s="2"/>
      <c r="T16" s="2"/>
    </row>
    <row r="17" spans="1:20" x14ac:dyDescent="0.3">
      <c r="A17" s="10" t="s">
        <v>18</v>
      </c>
      <c r="B17" s="11">
        <v>4</v>
      </c>
      <c r="C17" s="8" t="str">
        <f>DEC2HEX(Reg_4,8)</f>
        <v>00000004</v>
      </c>
      <c r="D17" s="9" t="str">
        <f>DEC2BIN(MOD(QUOTIENT(Reg_4,256^3),256),8)&amp;DEC2BIN(MOD(QUOTIENT(Reg_4,256^2),256),8)&amp;DEC2BIN(MOD(QUOTIENT(Reg_4,256^1),256),8)&amp;DEC2BIN(MOD(QUOTIENT(Reg_4,256^0),256),8)</f>
        <v>00000000000000000000000000000100</v>
      </c>
      <c r="H17" s="15" t="str">
        <f>IF(Gra,IR_ra,IF(Grb,IR_rb,IF(Grc,IR_rc,"None")))</f>
        <v>None</v>
      </c>
      <c r="I17" s="16">
        <f>IF(Sel_Reg&lt;&gt;"None",INDEX(Registers,Sel_Reg+1,0),0)</f>
        <v>0</v>
      </c>
      <c r="N17" s="3"/>
      <c r="O17" s="4"/>
      <c r="P17" s="4"/>
      <c r="Q17" s="4"/>
      <c r="R17" s="30">
        <v>1</v>
      </c>
    </row>
    <row r="18" spans="1:20" x14ac:dyDescent="0.3">
      <c r="A18" s="10" t="s">
        <v>19</v>
      </c>
      <c r="B18" s="11">
        <v>5</v>
      </c>
      <c r="C18" s="8" t="str">
        <f>DEC2HEX(Reg_5,8)</f>
        <v>00000005</v>
      </c>
      <c r="D18" s="9" t="str">
        <f>DEC2BIN(MOD(QUOTIENT(Reg_5,256^3),256),8)&amp;DEC2BIN(MOD(QUOTIENT(Reg_5,256^2),256),8)&amp;DEC2BIN(MOD(QUOTIENT(Reg_5,256^1),256),8)&amp;DEC2BIN(MOD(QUOTIENT(Reg_5,256^0),256),8)</f>
        <v>00000000000000000000000000000101</v>
      </c>
      <c r="N18" s="38" t="s">
        <v>64</v>
      </c>
      <c r="O18" s="18" t="s">
        <v>9</v>
      </c>
      <c r="P18" s="18" t="s">
        <v>7</v>
      </c>
      <c r="Q18" s="18" t="s">
        <v>9</v>
      </c>
      <c r="R18" s="14" t="s">
        <v>7</v>
      </c>
      <c r="T18" s="2"/>
    </row>
    <row r="19" spans="1:20" x14ac:dyDescent="0.3">
      <c r="A19" s="10" t="s">
        <v>20</v>
      </c>
      <c r="B19" s="11">
        <v>6</v>
      </c>
      <c r="C19" s="8" t="str">
        <f>DEC2HEX(Reg_6,8)</f>
        <v>00000006</v>
      </c>
      <c r="D19" s="9" t="str">
        <f>DEC2BIN(MOD(QUOTIENT(Reg_6,256^3),256),8)&amp;DEC2BIN(MOD(QUOTIENT(Reg_6,256^2),256),8)&amp;DEC2BIN(MOD(QUOTIENT(Reg_6,256^1),256),8)&amp;DEC2BIN(MOD(QUOTIENT(Reg_6,256^0),256),8)</f>
        <v>00000000000000000000000000000110</v>
      </c>
      <c r="F19" s="38" t="s">
        <v>61</v>
      </c>
      <c r="G19" s="29">
        <f>IF(ALU_INC4,INC4_Result,0)+IF(ALU_ADD,ADD_Result,0)+IF(ALU_SUB,SUB_Result,0)+IF(ALU_AND,AND_Result,0)+IF(ALU_OR,OR_Result,0)+IF(ALU_NOT,NOT_Result,0)+IF(ALU_NEG,NEG_Result,0)+IF(ALU_CB,CB_Result,0)+IF(ALU_SHR,SHR_Result,0)+IF(ALU_SHL,SHL_Result,0)+IF(ALU_SHRA,SHRA_Result,0)+IF(ALU_SHC,SHC_Result,0)</f>
        <v>0</v>
      </c>
      <c r="H19" s="27" t="str">
        <f>DEC2HEX(ALU_Dec,8)</f>
        <v>00000000</v>
      </c>
      <c r="I19" s="28"/>
      <c r="J19" s="26"/>
      <c r="N19" s="6" t="s">
        <v>58</v>
      </c>
      <c r="O19" s="8">
        <f>IF(IR_c1&lt;2^21,IR_c1,IR_c1-2^22)</f>
        <v>0</v>
      </c>
      <c r="P19" s="8" t="str">
        <f>DEC2HEX(IR_c1_ext,8)</f>
        <v>00000000</v>
      </c>
      <c r="Q19" s="8">
        <f>IR_c1</f>
        <v>0</v>
      </c>
      <c r="R19" s="9" t="str">
        <f>DEC2HEX(IR_c1,8)</f>
        <v>00000000</v>
      </c>
    </row>
    <row r="20" spans="1:20" x14ac:dyDescent="0.3">
      <c r="A20" s="10" t="s">
        <v>21</v>
      </c>
      <c r="B20" s="11">
        <v>7</v>
      </c>
      <c r="C20" s="8" t="str">
        <f>DEC2HEX(Reg_7,8)</f>
        <v>00000007</v>
      </c>
      <c r="D20" s="9" t="str">
        <f>DEC2BIN(MOD(QUOTIENT(Reg_7,256^3),256),8)&amp;DEC2BIN(MOD(QUOTIENT(Reg_7,256^2),256),8)&amp;DEC2BIN(MOD(QUOTIENT(Reg_7,256^1),256),8)&amp;DEC2BIN(MOD(QUOTIENT(Reg_7,256^0),256),8)</f>
        <v>00000000000000000000000000000111</v>
      </c>
      <c r="F20" s="6"/>
      <c r="G20" s="7" t="b">
        <v>0</v>
      </c>
      <c r="H20" s="8"/>
      <c r="I20" s="8">
        <f>BUS+4</f>
        <v>4</v>
      </c>
      <c r="J20" s="9" t="str">
        <f>DEC2HEX(INC4_Result,8)</f>
        <v>00000004</v>
      </c>
      <c r="N20" s="17" t="s">
        <v>59</v>
      </c>
      <c r="O20" s="18">
        <f>IF(IR_c2&lt;2^16,IR_c2,IR_c2-2^17)</f>
        <v>0</v>
      </c>
      <c r="P20" s="18" t="str">
        <f>DEC2HEX(IR_c2_ext,8)</f>
        <v>00000000</v>
      </c>
      <c r="Q20" s="18">
        <f>IR_c2</f>
        <v>0</v>
      </c>
      <c r="R20" s="14" t="str">
        <f>DEC2HEX(IR_c2,8)</f>
        <v>00000000</v>
      </c>
    </row>
    <row r="21" spans="1:20" x14ac:dyDescent="0.3">
      <c r="A21" s="10" t="s">
        <v>22</v>
      </c>
      <c r="B21" s="11">
        <v>8</v>
      </c>
      <c r="C21" s="8" t="str">
        <f>DEC2HEX(Reg_8,8)</f>
        <v>00000008</v>
      </c>
      <c r="D21" s="9" t="str">
        <f>DEC2BIN(MOD(QUOTIENT(Reg_8,256^3),256),8)&amp;DEC2BIN(MOD(QUOTIENT(Reg_8,256^2),256),8)&amp;DEC2BIN(MOD(QUOTIENT(Reg_8,256^1),256),8)&amp;DEC2BIN(MOD(QUOTIENT(Reg_8,256^0),256),8)</f>
        <v>00000000000000000000000000001000</v>
      </c>
      <c r="F21" s="6"/>
      <c r="G21" s="7" t="b">
        <v>0</v>
      </c>
      <c r="H21" s="8"/>
      <c r="I21" s="8">
        <f>Reg_A+BUS</f>
        <v>0</v>
      </c>
      <c r="J21" s="9" t="str">
        <f>DEC2HEX(ADD_Result,8)</f>
        <v>00000000</v>
      </c>
    </row>
    <row r="22" spans="1:20" x14ac:dyDescent="0.3">
      <c r="A22" s="10" t="s">
        <v>23</v>
      </c>
      <c r="B22" s="11">
        <v>9</v>
      </c>
      <c r="C22" s="8" t="str">
        <f>DEC2HEX(Reg_9,8)</f>
        <v>00000009</v>
      </c>
      <c r="D22" s="9" t="str">
        <f>DEC2BIN(MOD(QUOTIENT(Reg_9,256^3),256),8)&amp;DEC2BIN(MOD(QUOTIENT(Reg_9,256^2),256),8)&amp;DEC2BIN(MOD(QUOTIENT(Reg_9,256^1),256),8)&amp;DEC2BIN(MOD(QUOTIENT(Reg_9,256^0),256),8)</f>
        <v>00000000000000000000000000001001</v>
      </c>
      <c r="F22" s="10"/>
      <c r="G22" s="11" t="b">
        <v>0</v>
      </c>
      <c r="H22" s="11"/>
      <c r="I22" s="11">
        <f>Reg_A-BUS</f>
        <v>0</v>
      </c>
      <c r="J22" s="9" t="str">
        <f>DEC2HEX(SUB_Result,8)</f>
        <v>00000000</v>
      </c>
    </row>
    <row r="23" spans="1:20" x14ac:dyDescent="0.3">
      <c r="A23" s="10" t="s">
        <v>24</v>
      </c>
      <c r="B23" s="11">
        <v>10</v>
      </c>
      <c r="C23" s="8" t="str">
        <f>DEC2HEX(Reg_10,8)</f>
        <v>0000000A</v>
      </c>
      <c r="D23" s="9" t="str">
        <f>DEC2BIN(MOD(QUOTIENT(Reg_10,256^3),256),8)&amp;DEC2BIN(MOD(QUOTIENT(Reg_10,256^2),256),8)&amp;DEC2BIN(MOD(QUOTIENT(Reg_10,256^1),256),8)&amp;DEC2BIN(MOD(QUOTIENT(Reg_10,256^0),256),8)</f>
        <v>00000000000000000000000000001010</v>
      </c>
      <c r="F23" s="10"/>
      <c r="G23" s="11" t="b">
        <v>0</v>
      </c>
      <c r="H23" s="11"/>
      <c r="I23" s="11">
        <f>_xlfn.BITAND(Reg_A,IF(BUS&gt;=0,BUS,2^32+BUS))</f>
        <v>0</v>
      </c>
      <c r="J23" s="9" t="str">
        <f>DEC2HEX(AND_Result,8)</f>
        <v>00000000</v>
      </c>
    </row>
    <row r="24" spans="1:20" x14ac:dyDescent="0.3">
      <c r="A24" s="10" t="s">
        <v>25</v>
      </c>
      <c r="B24" s="11">
        <v>11</v>
      </c>
      <c r="C24" s="8" t="str">
        <f>DEC2HEX(Reg_11,8)</f>
        <v>0000000B</v>
      </c>
      <c r="D24" s="9" t="str">
        <f>DEC2BIN(MOD(QUOTIENT(Reg_11,256^3),256),8)&amp;DEC2BIN(MOD(QUOTIENT(Reg_11,256^2),256),8)&amp;DEC2BIN(MOD(QUOTIENT(Reg_11,256^1),256),8)&amp;DEC2BIN(MOD(QUOTIENT(Reg_11,256^0),256),8)</f>
        <v>00000000000000000000000000001011</v>
      </c>
      <c r="F24" s="10"/>
      <c r="G24" s="11" t="b">
        <v>0</v>
      </c>
      <c r="H24" s="11"/>
      <c r="I24" s="11">
        <f>_xlfn.BITOR(Reg_A,IF(BUS&gt;=0,BUS,2^32+BUS))</f>
        <v>0</v>
      </c>
      <c r="J24" s="9" t="str">
        <f>DEC2HEX(OR_Result,8)</f>
        <v>00000000</v>
      </c>
    </row>
    <row r="25" spans="1:20" x14ac:dyDescent="0.3">
      <c r="A25" s="10" t="s">
        <v>26</v>
      </c>
      <c r="B25" s="11">
        <v>12</v>
      </c>
      <c r="C25" s="8" t="str">
        <f>DEC2HEX(Reg_12,8)</f>
        <v>0000000C</v>
      </c>
      <c r="D25" s="9" t="str">
        <f>DEC2BIN(MOD(QUOTIENT(Reg_12,256^3),256),8)&amp;DEC2BIN(MOD(QUOTIENT(Reg_12,256^2),256),8)&amp;DEC2BIN(MOD(QUOTIENT(Reg_12,256^1),256),8)&amp;DEC2BIN(MOD(QUOTIENT(Reg_12,256^0),256),8)</f>
        <v>00000000000000000000000000001100</v>
      </c>
      <c r="F25" s="10"/>
      <c r="G25" s="11" t="b">
        <v>0</v>
      </c>
      <c r="H25" s="11"/>
      <c r="I25" s="11">
        <f>BITNOT(BUS)</f>
        <v>4294967295</v>
      </c>
      <c r="J25" s="9" t="str">
        <f>DEC2HEX(NOT_Result,8)</f>
        <v>FFFFFFFF</v>
      </c>
    </row>
    <row r="26" spans="1:20" x14ac:dyDescent="0.3">
      <c r="A26" s="10" t="s">
        <v>27</v>
      </c>
      <c r="B26" s="11">
        <v>13</v>
      </c>
      <c r="C26" s="8" t="str">
        <f>DEC2HEX(Reg_13,8)</f>
        <v>0000000D</v>
      </c>
      <c r="D26" s="9" t="str">
        <f>DEC2BIN(MOD(QUOTIENT(Reg_13,256^3),256),8)&amp;DEC2BIN(MOD(QUOTIENT(Reg_13,256^2),256),8)&amp;DEC2BIN(MOD(QUOTIENT(Reg_13,256^1),256),8)&amp;DEC2BIN(MOD(QUOTIENT(Reg_13,256^0),256),8)</f>
        <v>00000000000000000000000000001101</v>
      </c>
      <c r="F26" s="10"/>
      <c r="G26" s="11" t="b">
        <v>0</v>
      </c>
      <c r="H26" s="11"/>
      <c r="I26" s="11">
        <f>BUS*-1</f>
        <v>0</v>
      </c>
      <c r="J26" s="9" t="str">
        <f>DEC2HEX(NEG_Result,8)</f>
        <v>00000000</v>
      </c>
    </row>
    <row r="27" spans="1:20" x14ac:dyDescent="0.3">
      <c r="A27" s="10" t="s">
        <v>28</v>
      </c>
      <c r="B27" s="11">
        <v>14</v>
      </c>
      <c r="C27" s="8" t="str">
        <f>DEC2HEX(Reg_14,8)</f>
        <v>0000000E</v>
      </c>
      <c r="D27" s="9" t="str">
        <f>DEC2BIN(MOD(QUOTIENT(Reg_14,256^3),256),8)&amp;DEC2BIN(MOD(QUOTIENT(Reg_14,256^2),256),8)&amp;DEC2BIN(MOD(QUOTIENT(Reg_14,256^1),256),8)&amp;DEC2BIN(MOD(QUOTIENT(Reg_14,256^0),256),8)</f>
        <v>00000000000000000000000000001110</v>
      </c>
      <c r="F27" s="10"/>
      <c r="G27" s="11" t="b">
        <v>0</v>
      </c>
      <c r="H27" s="11"/>
      <c r="I27" s="11">
        <f>BUS</f>
        <v>0</v>
      </c>
      <c r="J27" s="9" t="str">
        <f>DEC2HEX(CB_Result,8)</f>
        <v>00000000</v>
      </c>
    </row>
    <row r="28" spans="1:20" x14ac:dyDescent="0.3">
      <c r="A28" s="10" t="s">
        <v>29</v>
      </c>
      <c r="B28" s="11">
        <v>15</v>
      </c>
      <c r="C28" s="8" t="str">
        <f>DEC2HEX(Reg_15,8)</f>
        <v>0000000F</v>
      </c>
      <c r="D28" s="9" t="str">
        <f>DEC2BIN(MOD(QUOTIENT(Reg_15,256^3),256),8)&amp;DEC2BIN(MOD(QUOTIENT(Reg_15,256^2),256),8)&amp;DEC2BIN(MOD(QUOTIENT(Reg_15,256^1),256),8)&amp;DEC2BIN(MOD(QUOTIENT(Reg_15,256^0),256),8)</f>
        <v>00000000000000000000000000001111</v>
      </c>
      <c r="F28" s="10"/>
      <c r="G28" s="11" t="b">
        <v>0</v>
      </c>
      <c r="H28" s="11"/>
      <c r="I28" s="11">
        <f>MOD(_xlfn.BITRSHIFT(Reg_C,IF(n&lt;&gt;0,n,IF(Grc,Sel_Reg_Val,0))),4294967295)</f>
        <v>0</v>
      </c>
      <c r="J28" s="9" t="str">
        <f>DEC2HEX(SHR_Result,8)</f>
        <v>00000000</v>
      </c>
    </row>
    <row r="29" spans="1:20" x14ac:dyDescent="0.3">
      <c r="A29" s="10" t="s">
        <v>30</v>
      </c>
      <c r="B29" s="11">
        <v>16</v>
      </c>
      <c r="C29" s="8" t="str">
        <f>DEC2HEX(Reg_16,8)</f>
        <v>00000010</v>
      </c>
      <c r="D29" s="9" t="str">
        <f>DEC2BIN(MOD(QUOTIENT(Reg_16,256^3),256),8)&amp;DEC2BIN(MOD(QUOTIENT(Reg_16,256^2),256),8)&amp;DEC2BIN(MOD(QUOTIENT(Reg_16,256^1),256),8)&amp;DEC2BIN(MOD(QUOTIENT(Reg_16,256^0),256),8)</f>
        <v>00000000000000000000000000010000</v>
      </c>
      <c r="F29" s="10"/>
      <c r="G29" s="11" t="b">
        <v>0</v>
      </c>
      <c r="H29" s="11"/>
      <c r="I29" s="11">
        <f>BITRASHIFT(Reg_C,IF(n&lt;&gt;0,n,IF(Grc,Sel_Reg_Val,0)))</f>
        <v>0</v>
      </c>
      <c r="J29" s="9" t="str">
        <f>DEC2HEX(SHRA_Result,8)</f>
        <v>00000000</v>
      </c>
    </row>
    <row r="30" spans="1:20" x14ac:dyDescent="0.3">
      <c r="A30" s="10" t="s">
        <v>31</v>
      </c>
      <c r="B30" s="11">
        <v>17</v>
      </c>
      <c r="C30" s="8" t="str">
        <f>DEC2HEX(Reg_17,8)</f>
        <v>00000011</v>
      </c>
      <c r="D30" s="9" t="str">
        <f>DEC2BIN(MOD(QUOTIENT(Reg_17,256^3),256),8)&amp;DEC2BIN(MOD(QUOTIENT(Reg_17,256^2),256),8)&amp;DEC2BIN(MOD(QUOTIENT(Reg_17,256^1),256),8)&amp;DEC2BIN(MOD(QUOTIENT(Reg_17,256^0),256),8)</f>
        <v>00000000000000000000000000010001</v>
      </c>
      <c r="F30" s="10"/>
      <c r="G30" s="11" t="b">
        <v>0</v>
      </c>
      <c r="H30" s="11"/>
      <c r="I30" s="11">
        <f>shl(Reg_C,IF(n&lt;&gt;0,n,IF(Grc,Sel_Reg_Val,0)))</f>
        <v>0</v>
      </c>
      <c r="J30" s="9" t="str">
        <f>DEC2HEX(SHL_Result,8)</f>
        <v>00000000</v>
      </c>
    </row>
    <row r="31" spans="1:20" x14ac:dyDescent="0.3">
      <c r="A31" s="10" t="s">
        <v>32</v>
      </c>
      <c r="B31" s="11">
        <v>18</v>
      </c>
      <c r="C31" s="8" t="str">
        <f>DEC2HEX(Reg_18,8)</f>
        <v>00000012</v>
      </c>
      <c r="D31" s="9" t="str">
        <f>DEC2BIN(MOD(QUOTIENT(Reg_18,256^3),256),8)&amp;DEC2BIN(MOD(QUOTIENT(Reg_18,256^2),256),8)&amp;DEC2BIN(MOD(QUOTIENT(Reg_18,256^1),256),8)&amp;DEC2BIN(MOD(QUOTIENT(Reg_18,256^0),256),8)</f>
        <v>00000000000000000000000000010010</v>
      </c>
      <c r="F31" s="12"/>
      <c r="G31" s="13" t="b">
        <v>0</v>
      </c>
      <c r="H31" s="13"/>
      <c r="I31" s="13">
        <f>BITCSHIFT(Reg_C,IF(n&lt;&gt;0,n,IF(Grc,Sel_Reg_Val,0)))</f>
        <v>0</v>
      </c>
      <c r="J31" s="14" t="str">
        <f>DEC2HEX(SHC_Result,8)</f>
        <v>00000000</v>
      </c>
    </row>
    <row r="32" spans="1:20" x14ac:dyDescent="0.3">
      <c r="A32" s="10" t="s">
        <v>33</v>
      </c>
      <c r="B32" s="11">
        <v>19</v>
      </c>
      <c r="C32" s="8" t="str">
        <f>DEC2HEX(Reg_19,8)</f>
        <v>00000013</v>
      </c>
      <c r="D32" s="9" t="str">
        <f>DEC2BIN(MOD(QUOTIENT(Reg_19,256^3),256),8)&amp;DEC2BIN(MOD(QUOTIENT(Reg_19,256^2),256),8)&amp;DEC2BIN(MOD(QUOTIENT(Reg_19,256^1),256),8)&amp;DEC2BIN(MOD(QUOTIENT(Reg_19,256^0),256),8)</f>
        <v>00000000000000000000000000010011</v>
      </c>
    </row>
    <row r="33" spans="1:4" x14ac:dyDescent="0.3">
      <c r="A33" s="10" t="s">
        <v>34</v>
      </c>
      <c r="B33" s="11">
        <v>20</v>
      </c>
      <c r="C33" s="8" t="str">
        <f>DEC2HEX(Reg_20,8)</f>
        <v>00000014</v>
      </c>
      <c r="D33" s="9" t="str">
        <f>DEC2BIN(MOD(QUOTIENT(Reg_20,256^3),256),8)&amp;DEC2BIN(MOD(QUOTIENT(Reg_20,256^2),256),8)&amp;DEC2BIN(MOD(QUOTIENT(Reg_20,256^1),256),8)&amp;DEC2BIN(MOD(QUOTIENT(Reg_20,256^0),256),8)</f>
        <v>00000000000000000000000000010100</v>
      </c>
    </row>
    <row r="34" spans="1:4" x14ac:dyDescent="0.3">
      <c r="A34" s="10" t="s">
        <v>35</v>
      </c>
      <c r="B34" s="11">
        <v>21</v>
      </c>
      <c r="C34" s="8" t="str">
        <f>DEC2HEX(Reg_21,8)</f>
        <v>00000015</v>
      </c>
      <c r="D34" s="9" t="str">
        <f>DEC2BIN(MOD(QUOTIENT(Reg_21,256^3),256),8)&amp;DEC2BIN(MOD(QUOTIENT(Reg_21,256^2),256),8)&amp;DEC2BIN(MOD(QUOTIENT(Reg_21,256^1),256),8)&amp;DEC2BIN(MOD(QUOTIENT(Reg_21,256^0),256),8)</f>
        <v>00000000000000000000000000010101</v>
      </c>
    </row>
    <row r="35" spans="1:4" x14ac:dyDescent="0.3">
      <c r="A35" s="10" t="s">
        <v>36</v>
      </c>
      <c r="B35" s="11">
        <v>22</v>
      </c>
      <c r="C35" s="8" t="str">
        <f>DEC2HEX(Reg_22,8)</f>
        <v>00000016</v>
      </c>
      <c r="D35" s="9" t="str">
        <f>DEC2BIN(MOD(QUOTIENT(Reg_22,256^3),256),8)&amp;DEC2BIN(MOD(QUOTIENT(Reg_22,256^2),256),8)&amp;DEC2BIN(MOD(QUOTIENT(Reg_22,256^1),256),8)&amp;DEC2BIN(MOD(QUOTIENT(Reg_22,256^0),256),8)</f>
        <v>00000000000000000000000000010110</v>
      </c>
    </row>
    <row r="36" spans="1:4" x14ac:dyDescent="0.3">
      <c r="A36" s="10" t="s">
        <v>37</v>
      </c>
      <c r="B36" s="11">
        <v>23</v>
      </c>
      <c r="C36" s="8" t="str">
        <f>DEC2HEX(Reg_23,8)</f>
        <v>00000017</v>
      </c>
      <c r="D36" s="9" t="str">
        <f>DEC2BIN(MOD(QUOTIENT(Reg_23,256^3),256),8)&amp;DEC2BIN(MOD(QUOTIENT(Reg_23,256^2),256),8)&amp;DEC2BIN(MOD(QUOTIENT(Reg_23,256^1),256),8)&amp;DEC2BIN(MOD(QUOTIENT(Reg_23,256^0),256),8)</f>
        <v>00000000000000000000000000010111</v>
      </c>
    </row>
    <row r="37" spans="1:4" x14ac:dyDescent="0.3">
      <c r="A37" s="10" t="s">
        <v>38</v>
      </c>
      <c r="B37" s="11">
        <v>24</v>
      </c>
      <c r="C37" s="8" t="str">
        <f>DEC2HEX(Reg_24,8)</f>
        <v>00000018</v>
      </c>
      <c r="D37" s="9" t="str">
        <f>DEC2BIN(MOD(QUOTIENT(Reg_24,256^3),256),8)&amp;DEC2BIN(MOD(QUOTIENT(Reg_24,256^2),256),8)&amp;DEC2BIN(MOD(QUOTIENT(Reg_24,256^1),256),8)&amp;DEC2BIN(MOD(QUOTIENT(Reg_24,256^0),256),8)</f>
        <v>00000000000000000000000000011000</v>
      </c>
    </row>
    <row r="38" spans="1:4" x14ac:dyDescent="0.3">
      <c r="A38" s="10" t="s">
        <v>39</v>
      </c>
      <c r="B38" s="11">
        <v>25</v>
      </c>
      <c r="C38" s="8" t="str">
        <f>DEC2HEX(Reg_25,8)</f>
        <v>00000019</v>
      </c>
      <c r="D38" s="9" t="str">
        <f>DEC2BIN(MOD(QUOTIENT(Reg_25,256^3),256),8)&amp;DEC2BIN(MOD(QUOTIENT(Reg_25,256^2),256),8)&amp;DEC2BIN(MOD(QUOTIENT(Reg_25,256^1),256),8)&amp;DEC2BIN(MOD(QUOTIENT(Reg_25,256^0),256),8)</f>
        <v>00000000000000000000000000011001</v>
      </c>
    </row>
    <row r="39" spans="1:4" x14ac:dyDescent="0.3">
      <c r="A39" s="10" t="s">
        <v>40</v>
      </c>
      <c r="B39" s="11">
        <v>26</v>
      </c>
      <c r="C39" s="8" t="str">
        <f>DEC2HEX(Reg_26,8)</f>
        <v>0000001A</v>
      </c>
      <c r="D39" s="9" t="str">
        <f>DEC2BIN(MOD(QUOTIENT(Reg_26,256^3),256),8)&amp;DEC2BIN(MOD(QUOTIENT(Reg_26,256^2),256),8)&amp;DEC2BIN(MOD(QUOTIENT(Reg_26,256^1),256),8)&amp;DEC2BIN(MOD(QUOTIENT(Reg_26,256^0),256),8)</f>
        <v>00000000000000000000000000011010</v>
      </c>
    </row>
    <row r="40" spans="1:4" x14ac:dyDescent="0.3">
      <c r="A40" s="10" t="s">
        <v>41</v>
      </c>
      <c r="B40" s="11">
        <v>27</v>
      </c>
      <c r="C40" s="8" t="str">
        <f>DEC2HEX(Reg_27,8)</f>
        <v>0000001B</v>
      </c>
      <c r="D40" s="9" t="str">
        <f>DEC2BIN(MOD(QUOTIENT(Reg_27,256^3),256),8)&amp;DEC2BIN(MOD(QUOTIENT(Reg_27,256^2),256),8)&amp;DEC2BIN(MOD(QUOTIENT(Reg_27,256^1),256),8)&amp;DEC2BIN(MOD(QUOTIENT(Reg_27,256^0),256),8)</f>
        <v>00000000000000000000000000011011</v>
      </c>
    </row>
    <row r="41" spans="1:4" x14ac:dyDescent="0.3">
      <c r="A41" s="10" t="s">
        <v>42</v>
      </c>
      <c r="B41" s="11">
        <v>28</v>
      </c>
      <c r="C41" s="8" t="str">
        <f>DEC2HEX(Reg_28,8)</f>
        <v>0000001C</v>
      </c>
      <c r="D41" s="9" t="str">
        <f>DEC2BIN(MOD(QUOTIENT(Reg_28,256^3),256),8)&amp;DEC2BIN(MOD(QUOTIENT(Reg_28,256^2),256),8)&amp;DEC2BIN(MOD(QUOTIENT(Reg_28,256^1),256),8)&amp;DEC2BIN(MOD(QUOTIENT(Reg_28,256^0),256),8)</f>
        <v>00000000000000000000000000011100</v>
      </c>
    </row>
    <row r="42" spans="1:4" x14ac:dyDescent="0.3">
      <c r="A42" s="10" t="s">
        <v>43</v>
      </c>
      <c r="B42" s="11">
        <v>29</v>
      </c>
      <c r="C42" s="8" t="str">
        <f>DEC2HEX(Reg_29,8)</f>
        <v>0000001D</v>
      </c>
      <c r="D42" s="9" t="str">
        <f>DEC2BIN(MOD(QUOTIENT(Reg_29,256^3),256),8)&amp;DEC2BIN(MOD(QUOTIENT(Reg_29,256^2),256),8)&amp;DEC2BIN(MOD(QUOTIENT(Reg_29,256^1),256),8)&amp;DEC2BIN(MOD(QUOTIENT(Reg_29,256^0),256),8)</f>
        <v>00000000000000000000000000011101</v>
      </c>
    </row>
    <row r="43" spans="1:4" x14ac:dyDescent="0.3">
      <c r="A43" s="10" t="s">
        <v>44</v>
      </c>
      <c r="B43" s="11">
        <v>30</v>
      </c>
      <c r="C43" s="8" t="str">
        <f>DEC2HEX(Reg_30,8)</f>
        <v>0000001E</v>
      </c>
      <c r="D43" s="9" t="str">
        <f>DEC2BIN(MOD(QUOTIENT(Reg_30,256^3),256),8)&amp;DEC2BIN(MOD(QUOTIENT(Reg_30,256^2),256),8)&amp;DEC2BIN(MOD(QUOTIENT(Reg_30,256^1),256),8)&amp;DEC2BIN(MOD(QUOTIENT(Reg_30,256^0),256),8)</f>
        <v>00000000000000000000000000011110</v>
      </c>
    </row>
    <row r="44" spans="1:4" x14ac:dyDescent="0.3">
      <c r="A44" s="12" t="s">
        <v>45</v>
      </c>
      <c r="B44" s="11">
        <v>31</v>
      </c>
      <c r="C44" s="18" t="str">
        <f>DEC2HEX(Reg_31,8)</f>
        <v>0000001F</v>
      </c>
      <c r="D44" s="14" t="str">
        <f>DEC2BIN(MOD(QUOTIENT(Reg_31,256^3),256),8)&amp;DEC2BIN(MOD(QUOTIENT(Reg_31,256^2),256),8)&amp;DEC2BIN(MOD(QUOTIENT(Reg_31,256^1),256),8)&amp;DEC2BIN(MOD(QUOTIENT(Reg_31,256^0),256),8)</f>
        <v>00000000000000000000000000011111</v>
      </c>
    </row>
  </sheetData>
  <mergeCells count="3">
    <mergeCell ref="O3:P3"/>
    <mergeCell ref="O4:P4"/>
    <mergeCell ref="O5:P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72" r:id="rId4" name="Reset">
          <controlPr defaultSize="0" autoLine="0" r:id="rId5">
            <anchor moveWithCells="1">
              <from>
                <xdr:col>10</xdr:col>
                <xdr:colOff>525780</xdr:colOff>
                <xdr:row>0</xdr:row>
                <xdr:rowOff>129540</xdr:rowOff>
              </from>
              <to>
                <xdr:col>11</xdr:col>
                <xdr:colOff>350520</xdr:colOff>
                <xdr:row>2</xdr:row>
                <xdr:rowOff>53340</xdr:rowOff>
              </to>
            </anchor>
          </controlPr>
        </control>
      </mc:Choice>
      <mc:Fallback>
        <control shapeId="1072" r:id="rId4" name="Reset"/>
      </mc:Fallback>
    </mc:AlternateContent>
    <mc:AlternateContent xmlns:mc="http://schemas.openxmlformats.org/markup-compatibility/2006">
      <mc:Choice Requires="x14">
        <control shapeId="1070" r:id="rId6" name="Fetch_Execute">
          <controlPr defaultSize="0" autoLine="0" r:id="rId7">
            <anchor moveWithCells="1">
              <from>
                <xdr:col>7</xdr:col>
                <xdr:colOff>144780</xdr:colOff>
                <xdr:row>0</xdr:row>
                <xdr:rowOff>152400</xdr:rowOff>
              </from>
              <to>
                <xdr:col>9</xdr:col>
                <xdr:colOff>38100</xdr:colOff>
                <xdr:row>2</xdr:row>
                <xdr:rowOff>53340</xdr:rowOff>
              </to>
            </anchor>
          </controlPr>
        </control>
      </mc:Choice>
      <mc:Fallback>
        <control shapeId="1070" r:id="rId6" name="Fetch_Execute"/>
      </mc:Fallback>
    </mc:AlternateContent>
    <mc:AlternateContent xmlns:mc="http://schemas.openxmlformats.org/markup-compatibility/2006">
      <mc:Choice Requires="x14">
        <control shapeId="1069" r:id="rId8" name="Execute">
          <controlPr defaultSize="0" autoLine="0" r:id="rId9">
            <anchor moveWithCells="1">
              <from>
                <xdr:col>6</xdr:col>
                <xdr:colOff>106680</xdr:colOff>
                <xdr:row>0</xdr:row>
                <xdr:rowOff>160020</xdr:rowOff>
              </from>
              <to>
                <xdr:col>7</xdr:col>
                <xdr:colOff>76200</xdr:colOff>
                <xdr:row>2</xdr:row>
                <xdr:rowOff>76200</xdr:rowOff>
              </to>
            </anchor>
          </controlPr>
        </control>
      </mc:Choice>
      <mc:Fallback>
        <control shapeId="1069" r:id="rId8" name="Execute"/>
      </mc:Fallback>
    </mc:AlternateContent>
    <mc:AlternateContent xmlns:mc="http://schemas.openxmlformats.org/markup-compatibility/2006">
      <mc:Choice Requires="x14">
        <control shapeId="1068" r:id="rId10" name="Step">
          <controlPr defaultSize="0" autoLine="0" r:id="rId11">
            <anchor moveWithCells="1">
              <from>
                <xdr:col>9</xdr:col>
                <xdr:colOff>144780</xdr:colOff>
                <xdr:row>0</xdr:row>
                <xdr:rowOff>137160</xdr:rowOff>
              </from>
              <to>
                <xdr:col>9</xdr:col>
                <xdr:colOff>678180</xdr:colOff>
                <xdr:row>2</xdr:row>
                <xdr:rowOff>60960</xdr:rowOff>
              </to>
            </anchor>
          </controlPr>
        </control>
      </mc:Choice>
      <mc:Fallback>
        <control shapeId="1068" r:id="rId10" name="Step"/>
      </mc:Fallback>
    </mc:AlternateContent>
    <mc:AlternateContent xmlns:mc="http://schemas.openxmlformats.org/markup-compatibility/2006">
      <mc:Choice Requires="x14">
        <control shapeId="1067" r:id="rId12" name="Fetch">
          <controlPr defaultSize="0" autoLine="0" r:id="rId13">
            <anchor moveWithCells="1">
              <from>
                <xdr:col>5</xdr:col>
                <xdr:colOff>274320</xdr:colOff>
                <xdr:row>0</xdr:row>
                <xdr:rowOff>152400</xdr:rowOff>
              </from>
              <to>
                <xdr:col>5</xdr:col>
                <xdr:colOff>807720</xdr:colOff>
                <xdr:row>2</xdr:row>
                <xdr:rowOff>76200</xdr:rowOff>
              </to>
            </anchor>
          </controlPr>
        </control>
      </mc:Choice>
      <mc:Fallback>
        <control shapeId="1067" r:id="rId12" name="Fetch"/>
      </mc:Fallback>
    </mc:AlternateContent>
    <mc:AlternateContent xmlns:mc="http://schemas.openxmlformats.org/markup-compatibility/2006">
      <mc:Choice Requires="x14">
        <control shapeId="1029" r:id="rId14" name="Strobe">
          <controlPr defaultSize="0" autoLine="0" r:id="rId15">
            <anchor moveWithCells="1">
              <from>
                <xdr:col>4</xdr:col>
                <xdr:colOff>274320</xdr:colOff>
                <xdr:row>0</xdr:row>
                <xdr:rowOff>160020</xdr:rowOff>
              </from>
              <to>
                <xdr:col>5</xdr:col>
                <xdr:colOff>198120</xdr:colOff>
                <xdr:row>2</xdr:row>
                <xdr:rowOff>83820</xdr:rowOff>
              </to>
            </anchor>
          </controlPr>
        </control>
      </mc:Choice>
      <mc:Fallback>
        <control shapeId="1029" r:id="rId14" name="Strobe"/>
      </mc:Fallback>
    </mc:AlternateContent>
    <mc:AlternateContent xmlns:mc="http://schemas.openxmlformats.org/markup-compatibility/2006">
      <mc:Choice Requires="x14">
        <control shapeId="1062" r:id="rId16" name="Clear">
          <controlPr defaultSize="0" autoLine="0" r:id="rId17">
            <anchor moveWithCells="1">
              <from>
                <xdr:col>9</xdr:col>
                <xdr:colOff>784860</xdr:colOff>
                <xdr:row>0</xdr:row>
                <xdr:rowOff>129540</xdr:rowOff>
              </from>
              <to>
                <xdr:col>10</xdr:col>
                <xdr:colOff>472440</xdr:colOff>
                <xdr:row>2</xdr:row>
                <xdr:rowOff>53340</xdr:rowOff>
              </to>
            </anchor>
          </controlPr>
        </control>
      </mc:Choice>
      <mc:Fallback>
        <control shapeId="1062" r:id="rId16" name="Clear"/>
      </mc:Fallback>
    </mc:AlternateContent>
    <mc:AlternateContent xmlns:mc="http://schemas.openxmlformats.org/markup-compatibility/2006">
      <mc:Choice Requires="x14">
        <control shapeId="1075" r:id="rId18" name="Run">
          <controlPr defaultSize="0" autoLine="0" r:id="rId19">
            <anchor moveWithCells="1">
              <from>
                <xdr:col>11</xdr:col>
                <xdr:colOff>403860</xdr:colOff>
                <xdr:row>0</xdr:row>
                <xdr:rowOff>129540</xdr:rowOff>
              </from>
              <to>
                <xdr:col>12</xdr:col>
                <xdr:colOff>327660</xdr:colOff>
                <xdr:row>2</xdr:row>
                <xdr:rowOff>53340</xdr:rowOff>
              </to>
            </anchor>
          </controlPr>
        </control>
      </mc:Choice>
      <mc:Fallback>
        <control shapeId="1075" r:id="rId18" name="Run"/>
      </mc:Fallback>
    </mc:AlternateContent>
    <mc:AlternateContent xmlns:mc="http://schemas.openxmlformats.org/markup-compatibility/2006">
      <mc:Choice Requires="x14">
        <control shapeId="1025" r:id="rId20" name="Check Box 1">
          <controlPr defaultSize="0" autoFill="0" autoLine="0" autoPict="0">
            <anchor moveWithCells="1">
              <from>
                <xdr:col>7</xdr:col>
                <xdr:colOff>7620</xdr:colOff>
                <xdr:row>4</xdr:row>
                <xdr:rowOff>45720</xdr:rowOff>
              </from>
              <to>
                <xdr:col>7</xdr:col>
                <xdr:colOff>601980</xdr:colOff>
                <xdr:row>4</xdr:row>
                <xdr:rowOff>213360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21" name="Check Box 2">
          <controlPr defaultSize="0" autoFill="0" autoLine="0" autoPict="0">
            <anchor moveWithCells="1">
              <from>
                <xdr:col>7</xdr:col>
                <xdr:colOff>15240</xdr:colOff>
                <xdr:row>6</xdr:row>
                <xdr:rowOff>175260</xdr:rowOff>
              </from>
              <to>
                <xdr:col>7</xdr:col>
                <xdr:colOff>571500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22" name="Check Box 3">
          <controlPr defaultSize="0" autoFill="0" autoLine="0" autoPict="0">
            <anchor moveWithCells="1">
              <from>
                <xdr:col>9</xdr:col>
                <xdr:colOff>45720</xdr:colOff>
                <xdr:row>6</xdr:row>
                <xdr:rowOff>175260</xdr:rowOff>
              </from>
              <to>
                <xdr:col>9</xdr:col>
                <xdr:colOff>579120</xdr:colOff>
                <xdr:row>8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23" name="Check Box 4">
          <controlPr defaultSize="0" autoFill="0" autoLine="0" autoPict="0">
            <anchor moveWithCells="1">
              <from>
                <xdr:col>9</xdr:col>
                <xdr:colOff>45720</xdr:colOff>
                <xdr:row>5</xdr:row>
                <xdr:rowOff>160020</xdr:rowOff>
              </from>
              <to>
                <xdr:col>9</xdr:col>
                <xdr:colOff>571500</xdr:colOff>
                <xdr:row>7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24" name="Check Box 6">
          <controlPr defaultSize="0" autoFill="0" autoLine="0" autoPict="0">
            <anchor moveWithCells="1">
              <from>
                <xdr:col>11</xdr:col>
                <xdr:colOff>38100</xdr:colOff>
                <xdr:row>6</xdr:row>
                <xdr:rowOff>175260</xdr:rowOff>
              </from>
              <to>
                <xdr:col>11</xdr:col>
                <xdr:colOff>556260</xdr:colOff>
                <xdr:row>7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5" name="Check Box 7">
          <controlPr defaultSize="0" autoFill="0" autoLine="0" autoPict="0">
            <anchor moveWithCells="1">
              <from>
                <xdr:col>11</xdr:col>
                <xdr:colOff>30480</xdr:colOff>
                <xdr:row>5</xdr:row>
                <xdr:rowOff>167640</xdr:rowOff>
              </from>
              <to>
                <xdr:col>11</xdr:col>
                <xdr:colOff>563880</xdr:colOff>
                <xdr:row>6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6" name="Check Box 8">
          <controlPr defaultSize="0" autoFill="0" autoLine="0" autoPict="0">
            <anchor moveWithCells="1">
              <from>
                <xdr:col>9</xdr:col>
                <xdr:colOff>45720</xdr:colOff>
                <xdr:row>4</xdr:row>
                <xdr:rowOff>38100</xdr:rowOff>
              </from>
              <to>
                <xdr:col>9</xdr:col>
                <xdr:colOff>563880</xdr:colOff>
                <xdr:row>4</xdr:row>
                <xdr:rowOff>220980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7" name="Check Box 10">
          <controlPr defaultSize="0" autoFill="0" autoLine="0" autoPict="0">
            <anchor moveWithCells="1">
              <from>
                <xdr:col>9</xdr:col>
                <xdr:colOff>45720</xdr:colOff>
                <xdr:row>4</xdr:row>
                <xdr:rowOff>205740</xdr:rowOff>
              </from>
              <to>
                <xdr:col>9</xdr:col>
                <xdr:colOff>563880</xdr:colOff>
                <xdr:row>5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28" name="Check Box 11">
          <controlPr defaultSize="0" autoFill="0" autoLine="0" autoPict="0">
            <anchor moveWithCells="1">
              <from>
                <xdr:col>9</xdr:col>
                <xdr:colOff>45720</xdr:colOff>
                <xdr:row>7</xdr:row>
                <xdr:rowOff>175260</xdr:rowOff>
              </from>
              <to>
                <xdr:col>9</xdr:col>
                <xdr:colOff>579120</xdr:colOff>
                <xdr:row>9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29" name="Check Box 12">
          <controlPr defaultSize="0" autoFill="0" autoLine="0" autoPict="0">
            <anchor moveWithCells="1">
              <from>
                <xdr:col>9</xdr:col>
                <xdr:colOff>45720</xdr:colOff>
                <xdr:row>8</xdr:row>
                <xdr:rowOff>167640</xdr:rowOff>
              </from>
              <to>
                <xdr:col>9</xdr:col>
                <xdr:colOff>594360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30" name="Check Box 13">
          <controlPr defaultSize="0" autoFill="0" autoLine="0" autoPict="0">
            <anchor moveWithCells="1">
              <from>
                <xdr:col>7</xdr:col>
                <xdr:colOff>15240</xdr:colOff>
                <xdr:row>8</xdr:row>
                <xdr:rowOff>167640</xdr:rowOff>
              </from>
              <to>
                <xdr:col>8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31" name="Check Box 14">
          <controlPr defaultSize="0" autoFill="0" autoLine="0" autoPict="0">
            <anchor moveWithCells="1">
              <from>
                <xdr:col>7</xdr:col>
                <xdr:colOff>30480</xdr:colOff>
                <xdr:row>11</xdr:row>
                <xdr:rowOff>175260</xdr:rowOff>
              </from>
              <to>
                <xdr:col>7</xdr:col>
                <xdr:colOff>541020</xdr:colOff>
                <xdr:row>12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32" name="Check Box 15">
          <controlPr defaultSize="0" autoFill="0" autoLine="0" autoPict="0">
            <anchor moveWithCells="1">
              <from>
                <xdr:col>9</xdr:col>
                <xdr:colOff>7620</xdr:colOff>
                <xdr:row>11</xdr:row>
                <xdr:rowOff>167640</xdr:rowOff>
              </from>
              <to>
                <xdr:col>9</xdr:col>
                <xdr:colOff>601980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33" name="Check Box 16">
          <controlPr defaultSize="0" autoFill="0" autoLine="0" autoPict="0">
            <anchor moveWithCells="1">
              <from>
                <xdr:col>11</xdr:col>
                <xdr:colOff>15240</xdr:colOff>
                <xdr:row>11</xdr:row>
                <xdr:rowOff>175260</xdr:rowOff>
              </from>
              <to>
                <xdr:col>11</xdr:col>
                <xdr:colOff>548640</xdr:colOff>
                <xdr:row>13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34" name="Check Box 17">
          <controlPr defaultSize="0" autoFill="0" autoLine="0" autoPict="0">
            <anchor moveWithCells="1">
              <from>
                <xdr:col>7</xdr:col>
                <xdr:colOff>38100</xdr:colOff>
                <xdr:row>12</xdr:row>
                <xdr:rowOff>175260</xdr:rowOff>
              </from>
              <to>
                <xdr:col>7</xdr:col>
                <xdr:colOff>541020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35" name="Check Box 18">
          <controlPr defaultSize="0" autoFill="0" autoLine="0" autoPict="0">
            <anchor moveWithCells="1">
              <from>
                <xdr:col>9</xdr:col>
                <xdr:colOff>15240</xdr:colOff>
                <xdr:row>12</xdr:row>
                <xdr:rowOff>167640</xdr:rowOff>
              </from>
              <to>
                <xdr:col>9</xdr:col>
                <xdr:colOff>579120</xdr:colOff>
                <xdr:row>14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36" name="Check Box 19">
          <controlPr defaultSize="0" autoFill="0" autoLine="0" autoPict="0">
            <anchor moveWithCells="1">
              <from>
                <xdr:col>11</xdr:col>
                <xdr:colOff>22860</xdr:colOff>
                <xdr:row>12</xdr:row>
                <xdr:rowOff>167640</xdr:rowOff>
              </from>
              <to>
                <xdr:col>11</xdr:col>
                <xdr:colOff>563880</xdr:colOff>
                <xdr:row>13</xdr:row>
                <xdr:rowOff>167640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37" name="Check Box 20">
          <controlPr defaultSize="0" autoFill="0" autoLine="0" autoPict="0">
            <anchor moveWithCells="1">
              <from>
                <xdr:col>7</xdr:col>
                <xdr:colOff>22860</xdr:colOff>
                <xdr:row>18</xdr:row>
                <xdr:rowOff>167640</xdr:rowOff>
              </from>
              <to>
                <xdr:col>7</xdr:col>
                <xdr:colOff>556260</xdr:colOff>
                <xdr:row>20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38" name="Check Box 21">
          <controlPr defaultSize="0" autoFill="0" autoLine="0" autoPict="0">
            <anchor moveWithCells="1">
              <from>
                <xdr:col>7</xdr:col>
                <xdr:colOff>22860</xdr:colOff>
                <xdr:row>19</xdr:row>
                <xdr:rowOff>160020</xdr:rowOff>
              </from>
              <to>
                <xdr:col>7</xdr:col>
                <xdr:colOff>556260</xdr:colOff>
                <xdr:row>21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39" name="Check Box 22">
          <controlPr defaultSize="0" autoFill="0" autoLine="0" autoPict="0">
            <anchor moveWithCells="1">
              <from>
                <xdr:col>7</xdr:col>
                <xdr:colOff>22860</xdr:colOff>
                <xdr:row>20</xdr:row>
                <xdr:rowOff>167640</xdr:rowOff>
              </from>
              <to>
                <xdr:col>7</xdr:col>
                <xdr:colOff>571500</xdr:colOff>
                <xdr:row>22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40" name="Check Box 24">
          <controlPr defaultSize="0" autoFill="0" autoLine="0" autoPict="0">
            <anchor moveWithCells="1">
              <from>
                <xdr:col>7</xdr:col>
                <xdr:colOff>30480</xdr:colOff>
                <xdr:row>21</xdr:row>
                <xdr:rowOff>167640</xdr:rowOff>
              </from>
              <to>
                <xdr:col>7</xdr:col>
                <xdr:colOff>601980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41" name="Check Box 25">
          <controlPr defaultSize="0" autoFill="0" autoLine="0" autoPict="0">
            <anchor moveWithCells="1">
              <from>
                <xdr:col>7</xdr:col>
                <xdr:colOff>38100</xdr:colOff>
                <xdr:row>22</xdr:row>
                <xdr:rowOff>152400</xdr:rowOff>
              </from>
              <to>
                <xdr:col>7</xdr:col>
                <xdr:colOff>601980</xdr:colOff>
                <xdr:row>24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42" name="Check Box 26">
          <controlPr defaultSize="0" autoFill="0" autoLine="0" autoPict="0">
            <anchor moveWithCells="1">
              <from>
                <xdr:col>7</xdr:col>
                <xdr:colOff>38100</xdr:colOff>
                <xdr:row>23</xdr:row>
                <xdr:rowOff>167640</xdr:rowOff>
              </from>
              <to>
                <xdr:col>7</xdr:col>
                <xdr:colOff>579120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43" name="Check Box 27">
          <controlPr defaultSize="0" autoFill="0" autoLine="0" autoPict="0">
            <anchor moveWithCells="1">
              <from>
                <xdr:col>7</xdr:col>
                <xdr:colOff>30480</xdr:colOff>
                <xdr:row>24</xdr:row>
                <xdr:rowOff>167640</xdr:rowOff>
              </from>
              <to>
                <xdr:col>8</xdr:col>
                <xdr:colOff>0</xdr:colOff>
                <xdr:row>26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4" name="Check Box 28">
          <controlPr defaultSize="0" autoFill="0" autoLine="0" autoPict="0">
            <anchor moveWithCells="1">
              <from>
                <xdr:col>7</xdr:col>
                <xdr:colOff>22860</xdr:colOff>
                <xdr:row>25</xdr:row>
                <xdr:rowOff>160020</xdr:rowOff>
              </from>
              <to>
                <xdr:col>7</xdr:col>
                <xdr:colOff>594360</xdr:colOff>
                <xdr:row>27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45" name="Check Box 29">
          <controlPr defaultSize="0" autoFill="0" autoLine="0" autoPict="0">
            <anchor moveWithCells="1">
              <from>
                <xdr:col>7</xdr:col>
                <xdr:colOff>30480</xdr:colOff>
                <xdr:row>26</xdr:row>
                <xdr:rowOff>167640</xdr:rowOff>
              </from>
              <to>
                <xdr:col>7</xdr:col>
                <xdr:colOff>579120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6" r:id="rId46" name="Check Box 32">
          <controlPr defaultSize="0" autoFill="0" autoLine="0" autoPict="0">
            <anchor moveWithCells="1">
              <from>
                <xdr:col>7</xdr:col>
                <xdr:colOff>22860</xdr:colOff>
                <xdr:row>27</xdr:row>
                <xdr:rowOff>175260</xdr:rowOff>
              </from>
              <to>
                <xdr:col>7</xdr:col>
                <xdr:colOff>579120</xdr:colOff>
                <xdr:row>29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47" name="Check Box 33">
          <controlPr defaultSize="0" autoFill="0" autoLine="0" autoPict="0">
            <anchor moveWithCells="1">
              <from>
                <xdr:col>7</xdr:col>
                <xdr:colOff>30480</xdr:colOff>
                <xdr:row>28</xdr:row>
                <xdr:rowOff>167640</xdr:rowOff>
              </from>
              <to>
                <xdr:col>7</xdr:col>
                <xdr:colOff>579120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48" name="Check Box 34">
          <controlPr defaultSize="0" autoFill="0" autoLine="0" autoPict="0">
            <anchor moveWithCells="1">
              <from>
                <xdr:col>7</xdr:col>
                <xdr:colOff>22860</xdr:colOff>
                <xdr:row>29</xdr:row>
                <xdr:rowOff>175260</xdr:rowOff>
              </from>
              <to>
                <xdr:col>7</xdr:col>
                <xdr:colOff>571500</xdr:colOff>
                <xdr:row>31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49" name="Check Box 35">
          <controlPr defaultSize="0" autoFill="0" autoLine="0" autoPict="0">
            <anchor moveWithCells="1">
              <from>
                <xdr:col>11</xdr:col>
                <xdr:colOff>38100</xdr:colOff>
                <xdr:row>7</xdr:row>
                <xdr:rowOff>175260</xdr:rowOff>
              </from>
              <to>
                <xdr:col>11</xdr:col>
                <xdr:colOff>579120</xdr:colOff>
                <xdr:row>9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0" r:id="rId50" name="Check Box 36">
          <controlPr defaultSize="0" autoFill="0" autoLine="0" autoPict="0">
            <anchor moveWithCells="1">
              <from>
                <xdr:col>11</xdr:col>
                <xdr:colOff>38100</xdr:colOff>
                <xdr:row>8</xdr:row>
                <xdr:rowOff>167640</xdr:rowOff>
              </from>
              <to>
                <xdr:col>11</xdr:col>
                <xdr:colOff>579120</xdr:colOff>
                <xdr:row>10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51" name="Option Button 39">
          <controlPr defaultSize="0" autoFill="0" autoLine="0" autoPict="0">
            <anchor moveWithCells="1">
              <from>
                <xdr:col>13</xdr:col>
                <xdr:colOff>640080</xdr:colOff>
                <xdr:row>16</xdr:row>
                <xdr:rowOff>15240</xdr:rowOff>
              </from>
              <to>
                <xdr:col>15</xdr:col>
                <xdr:colOff>0</xdr:colOff>
                <xdr:row>17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2" name="Option Button 40">
          <controlPr defaultSize="0" autoFill="0" autoLine="0" autoPict="0">
            <anchor moveWithCells="1">
              <from>
                <xdr:col>15</xdr:col>
                <xdr:colOff>548640</xdr:colOff>
                <xdr:row>15</xdr:row>
                <xdr:rowOff>175260</xdr:rowOff>
              </from>
              <to>
                <xdr:col>17</xdr:col>
                <xdr:colOff>205740</xdr:colOff>
                <xdr:row>17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53" name="Check Box 49">
          <controlPr defaultSize="0" autoFill="0" autoLine="0" autoPict="0">
            <anchor moveWithCells="1">
              <from>
                <xdr:col>11</xdr:col>
                <xdr:colOff>30480</xdr:colOff>
                <xdr:row>4</xdr:row>
                <xdr:rowOff>205740</xdr:rowOff>
              </from>
              <to>
                <xdr:col>12</xdr:col>
                <xdr:colOff>243840</xdr:colOff>
                <xdr:row>6</xdr:row>
                <xdr:rowOff>7620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207"/>
  <sheetViews>
    <sheetView showGridLines="0" topLeftCell="A25" workbookViewId="0">
      <selection activeCell="B32" sqref="B32"/>
    </sheetView>
  </sheetViews>
  <sheetFormatPr defaultRowHeight="14.4" x14ac:dyDescent="0.3"/>
  <cols>
    <col min="5" max="5" width="11" bestFit="1" customWidth="1"/>
    <col min="9" max="9" width="10" bestFit="1" customWidth="1"/>
  </cols>
  <sheetData>
    <row r="2" spans="1:6" x14ac:dyDescent="0.3">
      <c r="A2" s="32" t="s">
        <v>0</v>
      </c>
      <c r="B2" s="20"/>
      <c r="C2" s="20"/>
      <c r="D2" s="20"/>
      <c r="E2" s="20"/>
      <c r="F2" s="5"/>
    </row>
    <row r="3" spans="1:6" x14ac:dyDescent="0.3">
      <c r="A3" s="36" t="s">
        <v>10</v>
      </c>
      <c r="B3" s="34" t="s">
        <v>11</v>
      </c>
      <c r="C3" s="34" t="s">
        <v>7</v>
      </c>
      <c r="D3" s="34" t="s">
        <v>12</v>
      </c>
      <c r="E3" s="34" t="s">
        <v>13</v>
      </c>
      <c r="F3" s="35" t="s">
        <v>7</v>
      </c>
    </row>
    <row r="4" spans="1:6" x14ac:dyDescent="0.3">
      <c r="A4" s="19">
        <v>0</v>
      </c>
      <c r="B4" s="20">
        <v>10</v>
      </c>
      <c r="C4" s="4" t="str">
        <f>DEC2HEX(B4,2)</f>
        <v>0A</v>
      </c>
      <c r="D4" s="20" t="str">
        <f>DEC2BIN(B4,8)</f>
        <v>00001010</v>
      </c>
      <c r="E4" s="20">
        <f>B7+B6*2^8+B5*2^16+B4*2^24</f>
        <v>169082884</v>
      </c>
      <c r="F4" s="5" t="str">
        <f>DEC2HEX(E4,8)</f>
        <v>0A140004</v>
      </c>
    </row>
    <row r="5" spans="1:6" x14ac:dyDescent="0.3">
      <c r="A5" s="10">
        <v>1</v>
      </c>
      <c r="B5" s="11">
        <v>20</v>
      </c>
      <c r="C5" s="8" t="str">
        <f t="shared" ref="C5:C15" si="0">DEC2HEX(B5,2)</f>
        <v>14</v>
      </c>
      <c r="D5" s="11" t="str">
        <f t="shared" ref="D5:D15" si="1">DEC2BIN(B5,8)</f>
        <v>00010100</v>
      </c>
      <c r="E5" s="11">
        <f t="shared" ref="E5:E13" si="2">B8+B7*2^8+B6*2^16+B5*2^24</f>
        <v>335545441</v>
      </c>
      <c r="F5" s="21" t="str">
        <f t="shared" ref="F5:F13" si="3">DEC2HEX(E5,8)</f>
        <v>14000461</v>
      </c>
    </row>
    <row r="6" spans="1:6" x14ac:dyDescent="0.3">
      <c r="A6" s="10">
        <v>2</v>
      </c>
      <c r="B6" s="11">
        <v>0</v>
      </c>
      <c r="C6" s="8" t="str">
        <f t="shared" si="0"/>
        <v>00</v>
      </c>
      <c r="D6" s="11" t="str">
        <f t="shared" si="1"/>
        <v>00000000</v>
      </c>
      <c r="E6" s="11">
        <f t="shared" si="2"/>
        <v>286986</v>
      </c>
      <c r="F6" s="21" t="str">
        <f t="shared" si="3"/>
        <v>0004610A</v>
      </c>
    </row>
    <row r="7" spans="1:6" x14ac:dyDescent="0.3">
      <c r="A7" s="12">
        <v>3</v>
      </c>
      <c r="B7" s="13">
        <v>4</v>
      </c>
      <c r="C7" s="18" t="str">
        <f t="shared" si="0"/>
        <v>04</v>
      </c>
      <c r="D7" s="13" t="str">
        <f t="shared" si="1"/>
        <v>00000100</v>
      </c>
      <c r="E7" s="13">
        <f t="shared" si="2"/>
        <v>73468512</v>
      </c>
      <c r="F7" s="22" t="str">
        <f t="shared" si="3"/>
        <v>04610A60</v>
      </c>
    </row>
    <row r="8" spans="1:6" x14ac:dyDescent="0.3">
      <c r="A8" s="19">
        <v>4</v>
      </c>
      <c r="B8" s="20">
        <v>97</v>
      </c>
      <c r="C8" s="4" t="str">
        <f t="shared" si="0"/>
        <v>61</v>
      </c>
      <c r="D8" s="20" t="str">
        <f t="shared" si="1"/>
        <v>01100001</v>
      </c>
      <c r="E8" s="20">
        <f t="shared" si="2"/>
        <v>1628069888</v>
      </c>
      <c r="F8" s="5" t="str">
        <f t="shared" si="3"/>
        <v>610A6000</v>
      </c>
    </row>
    <row r="9" spans="1:6" x14ac:dyDescent="0.3">
      <c r="A9" s="10">
        <v>5</v>
      </c>
      <c r="B9" s="11">
        <v>10</v>
      </c>
      <c r="C9" s="8" t="str">
        <f t="shared" si="0"/>
        <v>0A</v>
      </c>
      <c r="D9" s="11" t="str">
        <f t="shared" si="1"/>
        <v>00001010</v>
      </c>
      <c r="E9" s="11">
        <f t="shared" si="2"/>
        <v>174063824</v>
      </c>
      <c r="F9" s="21" t="str">
        <f t="shared" si="3"/>
        <v>0A6000D0</v>
      </c>
    </row>
    <row r="10" spans="1:6" x14ac:dyDescent="0.3">
      <c r="A10" s="10">
        <v>6</v>
      </c>
      <c r="B10" s="11">
        <v>96</v>
      </c>
      <c r="C10" s="8" t="str">
        <f t="shared" si="0"/>
        <v>60</v>
      </c>
      <c r="D10" s="11" t="str">
        <f t="shared" si="1"/>
        <v>01100000</v>
      </c>
      <c r="E10" s="11">
        <f t="shared" si="2"/>
        <v>1610665988</v>
      </c>
      <c r="F10" s="21" t="str">
        <f t="shared" si="3"/>
        <v>6000D004</v>
      </c>
    </row>
    <row r="11" spans="1:6" x14ac:dyDescent="0.3">
      <c r="A11" s="12">
        <v>7</v>
      </c>
      <c r="B11" s="13">
        <v>0</v>
      </c>
      <c r="C11" s="18" t="str">
        <f t="shared" si="0"/>
        <v>00</v>
      </c>
      <c r="D11" s="13" t="str">
        <f t="shared" si="1"/>
        <v>00000000</v>
      </c>
      <c r="E11" s="13">
        <f t="shared" si="2"/>
        <v>13632512</v>
      </c>
      <c r="F11" s="22" t="str">
        <f t="shared" si="3"/>
        <v>00D00400</v>
      </c>
    </row>
    <row r="12" spans="1:6" x14ac:dyDescent="0.3">
      <c r="A12" s="19">
        <v>8</v>
      </c>
      <c r="B12" s="20">
        <v>208</v>
      </c>
      <c r="C12" s="4" t="str">
        <f t="shared" si="0"/>
        <v>D0</v>
      </c>
      <c r="D12" s="20" t="str">
        <f t="shared" si="1"/>
        <v>11010000</v>
      </c>
      <c r="E12" s="20">
        <f t="shared" si="2"/>
        <v>3489923075</v>
      </c>
      <c r="F12" s="5" t="str">
        <f t="shared" si="3"/>
        <v>D0040003</v>
      </c>
    </row>
    <row r="13" spans="1:6" x14ac:dyDescent="0.3">
      <c r="A13" s="10">
        <v>9</v>
      </c>
      <c r="B13" s="11">
        <v>4</v>
      </c>
      <c r="C13" s="8" t="str">
        <f t="shared" si="0"/>
        <v>04</v>
      </c>
      <c r="D13" s="11" t="str">
        <f t="shared" si="1"/>
        <v>00000100</v>
      </c>
      <c r="E13" s="11">
        <f t="shared" si="2"/>
        <v>67109880</v>
      </c>
      <c r="F13" s="21" t="str">
        <f t="shared" si="3"/>
        <v>040003F8</v>
      </c>
    </row>
    <row r="14" spans="1:6" x14ac:dyDescent="0.3">
      <c r="A14" s="10">
        <v>10</v>
      </c>
      <c r="B14" s="11">
        <v>0</v>
      </c>
      <c r="C14" s="8" t="str">
        <f t="shared" si="0"/>
        <v>00</v>
      </c>
      <c r="D14" s="11" t="str">
        <f t="shared" si="1"/>
        <v>00000000</v>
      </c>
      <c r="E14" s="11">
        <f>B17+B16*2^8+B15*2^16+B14*2^24</f>
        <v>260096</v>
      </c>
      <c r="F14" s="21" t="str">
        <f>DEC2HEX(E14,8)</f>
        <v>0003F800</v>
      </c>
    </row>
    <row r="15" spans="1:6" x14ac:dyDescent="0.3">
      <c r="A15" s="12">
        <v>11</v>
      </c>
      <c r="B15" s="13">
        <v>3</v>
      </c>
      <c r="C15" s="18" t="str">
        <f t="shared" si="0"/>
        <v>03</v>
      </c>
      <c r="D15" s="13" t="str">
        <f t="shared" si="1"/>
        <v>00000011</v>
      </c>
      <c r="E15" s="13">
        <f t="shared" ref="E15:E78" si="4">B18+B17*2^8+B16*2^16+B15*2^24</f>
        <v>66584576</v>
      </c>
      <c r="F15" s="22" t="str">
        <f t="shared" ref="F15:F78" si="5">DEC2HEX(E15,8)</f>
        <v>03F80000</v>
      </c>
    </row>
    <row r="16" spans="1:6" x14ac:dyDescent="0.3">
      <c r="A16" s="19">
        <v>12</v>
      </c>
      <c r="B16" s="20">
        <v>248</v>
      </c>
      <c r="C16" s="4" t="str">
        <f t="shared" ref="C16:C79" si="6">DEC2HEX(B16,2)</f>
        <v>F8</v>
      </c>
      <c r="D16" s="20" t="str">
        <f t="shared" ref="D16:D79" si="7">DEC2BIN(B16,8)</f>
        <v>11111000</v>
      </c>
      <c r="E16" s="20">
        <f t="shared" si="4"/>
        <v>4160749569</v>
      </c>
      <c r="F16" s="5" t="str">
        <f t="shared" si="5"/>
        <v>F8000001</v>
      </c>
    </row>
    <row r="17" spans="1:6" x14ac:dyDescent="0.3">
      <c r="A17" s="10">
        <v>13</v>
      </c>
      <c r="B17" s="11">
        <v>0</v>
      </c>
      <c r="C17" s="8" t="str">
        <f t="shared" si="6"/>
        <v>00</v>
      </c>
      <c r="D17" s="11" t="str">
        <f t="shared" si="7"/>
        <v>00000000</v>
      </c>
      <c r="E17" s="11">
        <f t="shared" si="4"/>
        <v>256</v>
      </c>
      <c r="F17" s="21" t="str">
        <f t="shared" si="5"/>
        <v>00000100</v>
      </c>
    </row>
    <row r="18" spans="1:6" x14ac:dyDescent="0.3">
      <c r="A18" s="10">
        <v>14</v>
      </c>
      <c r="B18" s="11">
        <v>0</v>
      </c>
      <c r="C18" s="8" t="str">
        <f t="shared" si="6"/>
        <v>00</v>
      </c>
      <c r="D18" s="11" t="str">
        <f t="shared" si="7"/>
        <v>00000000</v>
      </c>
      <c r="E18" s="11">
        <f t="shared" si="4"/>
        <v>65544</v>
      </c>
      <c r="F18" s="21" t="str">
        <f t="shared" si="5"/>
        <v>00010008</v>
      </c>
    </row>
    <row r="19" spans="1:6" x14ac:dyDescent="0.3">
      <c r="A19" s="12">
        <v>15</v>
      </c>
      <c r="B19" s="13">
        <v>1</v>
      </c>
      <c r="C19" s="18" t="str">
        <f t="shared" si="6"/>
        <v>01</v>
      </c>
      <c r="D19" s="13" t="str">
        <f t="shared" si="7"/>
        <v>00000001</v>
      </c>
      <c r="E19" s="13">
        <f t="shared" si="4"/>
        <v>16779273</v>
      </c>
      <c r="F19" s="22" t="str">
        <f t="shared" si="5"/>
        <v>01000809</v>
      </c>
    </row>
    <row r="20" spans="1:6" x14ac:dyDescent="0.3">
      <c r="A20" s="19">
        <v>16</v>
      </c>
      <c r="B20" s="20">
        <v>0</v>
      </c>
      <c r="C20" s="4" t="str">
        <f t="shared" si="6"/>
        <v>00</v>
      </c>
      <c r="D20" s="20" t="str">
        <f t="shared" si="7"/>
        <v>00000000</v>
      </c>
      <c r="E20" s="20">
        <f t="shared" si="4"/>
        <v>526602</v>
      </c>
      <c r="F20" s="5" t="str">
        <f t="shared" si="5"/>
        <v>0008090A</v>
      </c>
    </row>
    <row r="21" spans="1:6" x14ac:dyDescent="0.3">
      <c r="A21" s="10">
        <v>17</v>
      </c>
      <c r="B21" s="11">
        <v>8</v>
      </c>
      <c r="C21" s="8" t="str">
        <f t="shared" si="6"/>
        <v>08</v>
      </c>
      <c r="D21" s="11" t="str">
        <f t="shared" si="7"/>
        <v>00001000</v>
      </c>
      <c r="E21" s="11">
        <f t="shared" si="4"/>
        <v>134810120</v>
      </c>
      <c r="F21" s="21" t="str">
        <f t="shared" si="5"/>
        <v>08090A08</v>
      </c>
    </row>
    <row r="22" spans="1:6" x14ac:dyDescent="0.3">
      <c r="A22" s="10">
        <v>18</v>
      </c>
      <c r="B22" s="11">
        <v>9</v>
      </c>
      <c r="C22" s="8" t="str">
        <f t="shared" si="6"/>
        <v>09</v>
      </c>
      <c r="D22" s="11" t="str">
        <f t="shared" si="7"/>
        <v>00001001</v>
      </c>
      <c r="E22" s="11">
        <f t="shared" si="4"/>
        <v>151652420</v>
      </c>
      <c r="F22" s="21" t="str">
        <f t="shared" si="5"/>
        <v>090A0844</v>
      </c>
    </row>
    <row r="23" spans="1:6" x14ac:dyDescent="0.3">
      <c r="A23" s="12">
        <v>19</v>
      </c>
      <c r="B23" s="13">
        <v>10</v>
      </c>
      <c r="C23" s="18" t="str">
        <f t="shared" si="6"/>
        <v>0A</v>
      </c>
      <c r="D23" s="13" t="str">
        <f t="shared" si="7"/>
        <v>00001010</v>
      </c>
      <c r="E23" s="13">
        <f t="shared" si="4"/>
        <v>168313856</v>
      </c>
      <c r="F23" s="22" t="str">
        <f t="shared" si="5"/>
        <v>0A084400</v>
      </c>
    </row>
    <row r="24" spans="1:6" x14ac:dyDescent="0.3">
      <c r="A24" s="19">
        <v>20</v>
      </c>
      <c r="B24" s="20">
        <v>8</v>
      </c>
      <c r="C24" s="4" t="str">
        <f t="shared" si="6"/>
        <v>08</v>
      </c>
      <c r="D24" s="20" t="str">
        <f t="shared" si="7"/>
        <v>00001000</v>
      </c>
      <c r="E24" s="20">
        <f t="shared" si="4"/>
        <v>138674180</v>
      </c>
      <c r="F24" s="5" t="str">
        <f t="shared" si="5"/>
        <v>08440004</v>
      </c>
    </row>
    <row r="25" spans="1:6" x14ac:dyDescent="0.3">
      <c r="A25" s="10">
        <v>21</v>
      </c>
      <c r="B25" s="11">
        <v>68</v>
      </c>
      <c r="C25" s="8" t="str">
        <f t="shared" si="6"/>
        <v>44</v>
      </c>
      <c r="D25" s="11" t="str">
        <f t="shared" si="7"/>
        <v>01000100</v>
      </c>
      <c r="E25" s="11">
        <f t="shared" si="4"/>
        <v>1140851808</v>
      </c>
      <c r="F25" s="21" t="str">
        <f t="shared" si="5"/>
        <v>44000460</v>
      </c>
    </row>
    <row r="26" spans="1:6" x14ac:dyDescent="0.3">
      <c r="A26" s="10">
        <v>22</v>
      </c>
      <c r="B26" s="11">
        <v>0</v>
      </c>
      <c r="C26" s="8" t="str">
        <f t="shared" si="6"/>
        <v>00</v>
      </c>
      <c r="D26" s="11" t="str">
        <f t="shared" si="7"/>
        <v>00000000</v>
      </c>
      <c r="E26" s="11">
        <f t="shared" si="4"/>
        <v>286864</v>
      </c>
      <c r="F26" s="21" t="str">
        <f t="shared" si="5"/>
        <v>00046090</v>
      </c>
    </row>
    <row r="27" spans="1:6" x14ac:dyDescent="0.3">
      <c r="A27" s="12">
        <v>23</v>
      </c>
      <c r="B27" s="13">
        <v>4</v>
      </c>
      <c r="C27" s="18" t="str">
        <f t="shared" si="6"/>
        <v>04</v>
      </c>
      <c r="D27" s="13" t="str">
        <f t="shared" si="7"/>
        <v>00000100</v>
      </c>
      <c r="E27" s="13">
        <f t="shared" si="4"/>
        <v>73437248</v>
      </c>
      <c r="F27" s="22" t="str">
        <f t="shared" si="5"/>
        <v>04609040</v>
      </c>
    </row>
    <row r="28" spans="1:6" x14ac:dyDescent="0.3">
      <c r="A28" s="19">
        <v>24</v>
      </c>
      <c r="B28" s="20">
        <v>96</v>
      </c>
      <c r="C28" s="4" t="str">
        <f t="shared" si="6"/>
        <v>60</v>
      </c>
      <c r="D28" s="20" t="str">
        <f t="shared" si="7"/>
        <v>01100000</v>
      </c>
      <c r="E28" s="20">
        <f t="shared" si="4"/>
        <v>1620066304</v>
      </c>
      <c r="F28" s="5" t="str">
        <f t="shared" si="5"/>
        <v>60904000</v>
      </c>
    </row>
    <row r="29" spans="1:6" x14ac:dyDescent="0.3">
      <c r="A29" s="10">
        <v>25</v>
      </c>
      <c r="B29" s="11">
        <v>144</v>
      </c>
      <c r="C29" s="8" t="str">
        <f t="shared" si="6"/>
        <v>90</v>
      </c>
      <c r="D29" s="11" t="str">
        <f t="shared" si="7"/>
        <v>10010000</v>
      </c>
      <c r="E29" s="11">
        <f t="shared" si="4"/>
        <v>2420113416</v>
      </c>
      <c r="F29" s="21" t="str">
        <f t="shared" si="5"/>
        <v>90400008</v>
      </c>
    </row>
    <row r="30" spans="1:6" x14ac:dyDescent="0.3">
      <c r="A30" s="10">
        <v>26</v>
      </c>
      <c r="B30" s="11">
        <v>64</v>
      </c>
      <c r="C30" s="8" t="str">
        <f t="shared" si="6"/>
        <v>40</v>
      </c>
      <c r="D30" s="11" t="str">
        <f t="shared" si="7"/>
        <v>01000000</v>
      </c>
      <c r="E30" s="11">
        <f t="shared" si="4"/>
        <v>1073743936</v>
      </c>
      <c r="F30" s="21" t="str">
        <f t="shared" si="5"/>
        <v>40000840</v>
      </c>
    </row>
    <row r="31" spans="1:6" x14ac:dyDescent="0.3">
      <c r="A31" s="12">
        <v>27</v>
      </c>
      <c r="B31" s="13">
        <v>0</v>
      </c>
      <c r="C31" s="18" t="str">
        <f t="shared" si="6"/>
        <v>00</v>
      </c>
      <c r="D31" s="13" t="str">
        <f t="shared" si="7"/>
        <v>00000000</v>
      </c>
      <c r="E31" s="13">
        <f t="shared" si="4"/>
        <v>540672</v>
      </c>
      <c r="F31" s="22" t="str">
        <f t="shared" si="5"/>
        <v>00084000</v>
      </c>
    </row>
    <row r="32" spans="1:6" x14ac:dyDescent="0.3">
      <c r="A32" s="19">
        <v>28</v>
      </c>
      <c r="B32" s="20">
        <v>8</v>
      </c>
      <c r="C32" s="4" t="str">
        <f t="shared" si="6"/>
        <v>08</v>
      </c>
      <c r="D32" s="20" t="str">
        <f t="shared" si="7"/>
        <v>00001000</v>
      </c>
      <c r="E32" s="20">
        <f t="shared" si="4"/>
        <v>138412036</v>
      </c>
      <c r="F32" s="5" t="str">
        <f t="shared" si="5"/>
        <v>08400004</v>
      </c>
    </row>
    <row r="33" spans="1:6" x14ac:dyDescent="0.3">
      <c r="A33" s="10">
        <v>29</v>
      </c>
      <c r="B33" s="11">
        <v>64</v>
      </c>
      <c r="C33" s="8" t="str">
        <f t="shared" si="6"/>
        <v>40</v>
      </c>
      <c r="D33" s="11" t="str">
        <f t="shared" si="7"/>
        <v>01000000</v>
      </c>
      <c r="E33" s="11">
        <f t="shared" si="4"/>
        <v>1073742871</v>
      </c>
      <c r="F33" s="21" t="str">
        <f t="shared" si="5"/>
        <v>40000417</v>
      </c>
    </row>
    <row r="34" spans="1:6" x14ac:dyDescent="0.3">
      <c r="A34" s="10">
        <v>30</v>
      </c>
      <c r="B34" s="11">
        <v>0</v>
      </c>
      <c r="C34" s="8" t="str">
        <f t="shared" si="6"/>
        <v>00</v>
      </c>
      <c r="D34" s="11" t="str">
        <f t="shared" si="7"/>
        <v>00000000</v>
      </c>
      <c r="E34" s="11">
        <f t="shared" si="4"/>
        <v>268056</v>
      </c>
      <c r="F34" s="21" t="str">
        <f t="shared" si="5"/>
        <v>00041718</v>
      </c>
    </row>
    <row r="35" spans="1:6" x14ac:dyDescent="0.3">
      <c r="A35" s="12">
        <v>31</v>
      </c>
      <c r="B35" s="13">
        <v>4</v>
      </c>
      <c r="C35" s="18" t="str">
        <f t="shared" si="6"/>
        <v>04</v>
      </c>
      <c r="D35" s="13" t="str">
        <f t="shared" si="7"/>
        <v>00000100</v>
      </c>
      <c r="E35" s="13">
        <f t="shared" si="4"/>
        <v>68622361</v>
      </c>
      <c r="F35" s="22" t="str">
        <f t="shared" si="5"/>
        <v>04171819</v>
      </c>
    </row>
    <row r="36" spans="1:6" x14ac:dyDescent="0.3">
      <c r="A36" s="19">
        <v>32</v>
      </c>
      <c r="B36" s="20">
        <v>23</v>
      </c>
      <c r="C36" s="4" t="str">
        <f t="shared" si="6"/>
        <v>17</v>
      </c>
      <c r="D36" s="20" t="str">
        <f t="shared" si="7"/>
        <v>00010111</v>
      </c>
      <c r="E36" s="20">
        <f t="shared" si="4"/>
        <v>387455258</v>
      </c>
      <c r="F36" s="5" t="str">
        <f t="shared" si="5"/>
        <v>1718191A</v>
      </c>
    </row>
    <row r="37" spans="1:6" x14ac:dyDescent="0.3">
      <c r="A37" s="10">
        <v>33</v>
      </c>
      <c r="B37" s="11">
        <v>24</v>
      </c>
      <c r="C37" s="8" t="str">
        <f t="shared" si="6"/>
        <v>18</v>
      </c>
      <c r="D37" s="11" t="str">
        <f t="shared" si="7"/>
        <v>00011000</v>
      </c>
      <c r="E37" s="11">
        <f t="shared" si="4"/>
        <v>404298267</v>
      </c>
      <c r="F37" s="21" t="str">
        <f t="shared" si="5"/>
        <v>18191A1B</v>
      </c>
    </row>
    <row r="38" spans="1:6" x14ac:dyDescent="0.3">
      <c r="A38" s="10">
        <v>34</v>
      </c>
      <c r="B38" s="11">
        <v>25</v>
      </c>
      <c r="C38" s="8" t="str">
        <f t="shared" si="6"/>
        <v>19</v>
      </c>
      <c r="D38" s="11" t="str">
        <f t="shared" si="7"/>
        <v>00011001</v>
      </c>
      <c r="E38" s="11">
        <f t="shared" si="4"/>
        <v>421141276</v>
      </c>
      <c r="F38" s="21" t="str">
        <f t="shared" si="5"/>
        <v>191A1B1C</v>
      </c>
    </row>
    <row r="39" spans="1:6" x14ac:dyDescent="0.3">
      <c r="A39" s="12">
        <v>35</v>
      </c>
      <c r="B39" s="13">
        <v>26</v>
      </c>
      <c r="C39" s="18" t="str">
        <f t="shared" si="6"/>
        <v>1A</v>
      </c>
      <c r="D39" s="13" t="str">
        <f t="shared" si="7"/>
        <v>00011010</v>
      </c>
      <c r="E39" s="13">
        <f t="shared" si="4"/>
        <v>437984285</v>
      </c>
      <c r="F39" s="22" t="str">
        <f t="shared" si="5"/>
        <v>1A1B1C1D</v>
      </c>
    </row>
    <row r="40" spans="1:6" x14ac:dyDescent="0.3">
      <c r="A40" s="19">
        <v>36</v>
      </c>
      <c r="B40" s="20">
        <v>27</v>
      </c>
      <c r="C40" s="4" t="str">
        <f t="shared" si="6"/>
        <v>1B</v>
      </c>
      <c r="D40" s="20" t="str">
        <f t="shared" si="7"/>
        <v>00011011</v>
      </c>
      <c r="E40" s="20">
        <f t="shared" si="4"/>
        <v>454827294</v>
      </c>
      <c r="F40" s="5" t="str">
        <f t="shared" si="5"/>
        <v>1B1C1D1E</v>
      </c>
    </row>
    <row r="41" spans="1:6" x14ac:dyDescent="0.3">
      <c r="A41" s="10">
        <v>37</v>
      </c>
      <c r="B41" s="11">
        <v>28</v>
      </c>
      <c r="C41" s="8" t="str">
        <f t="shared" si="6"/>
        <v>1C</v>
      </c>
      <c r="D41" s="11" t="str">
        <f t="shared" si="7"/>
        <v>00011100</v>
      </c>
      <c r="E41" s="11">
        <f t="shared" si="4"/>
        <v>471670303</v>
      </c>
      <c r="F41" s="21" t="str">
        <f t="shared" si="5"/>
        <v>1C1D1E1F</v>
      </c>
    </row>
    <row r="42" spans="1:6" x14ac:dyDescent="0.3">
      <c r="A42" s="10">
        <v>38</v>
      </c>
      <c r="B42" s="11">
        <v>29</v>
      </c>
      <c r="C42" s="8" t="str">
        <f t="shared" si="6"/>
        <v>1D</v>
      </c>
      <c r="D42" s="11" t="str">
        <f t="shared" si="7"/>
        <v>00011101</v>
      </c>
      <c r="E42" s="11">
        <f t="shared" si="4"/>
        <v>488513312</v>
      </c>
      <c r="F42" s="21" t="str">
        <f t="shared" si="5"/>
        <v>1D1E1F20</v>
      </c>
    </row>
    <row r="43" spans="1:6" x14ac:dyDescent="0.3">
      <c r="A43" s="12">
        <v>39</v>
      </c>
      <c r="B43" s="13">
        <v>30</v>
      </c>
      <c r="C43" s="18" t="str">
        <f t="shared" si="6"/>
        <v>1E</v>
      </c>
      <c r="D43" s="13" t="str">
        <f t="shared" si="7"/>
        <v>00011110</v>
      </c>
      <c r="E43" s="13">
        <f t="shared" si="4"/>
        <v>505356321</v>
      </c>
      <c r="F43" s="22" t="str">
        <f t="shared" si="5"/>
        <v>1E1F2021</v>
      </c>
    </row>
    <row r="44" spans="1:6" x14ac:dyDescent="0.3">
      <c r="A44" s="19">
        <v>40</v>
      </c>
      <c r="B44" s="20">
        <v>31</v>
      </c>
      <c r="C44" s="4" t="str">
        <f t="shared" si="6"/>
        <v>1F</v>
      </c>
      <c r="D44" s="20" t="str">
        <f t="shared" si="7"/>
        <v>00011111</v>
      </c>
      <c r="E44" s="20">
        <f t="shared" si="4"/>
        <v>522199330</v>
      </c>
      <c r="F44" s="5" t="str">
        <f t="shared" si="5"/>
        <v>1F202122</v>
      </c>
    </row>
    <row r="45" spans="1:6" x14ac:dyDescent="0.3">
      <c r="A45" s="10">
        <v>41</v>
      </c>
      <c r="B45" s="11">
        <v>32</v>
      </c>
      <c r="C45" s="8" t="str">
        <f t="shared" si="6"/>
        <v>20</v>
      </c>
      <c r="D45" s="11" t="str">
        <f t="shared" si="7"/>
        <v>00100000</v>
      </c>
      <c r="E45" s="11">
        <f t="shared" si="4"/>
        <v>539042339</v>
      </c>
      <c r="F45" s="21" t="str">
        <f t="shared" si="5"/>
        <v>20212223</v>
      </c>
    </row>
    <row r="46" spans="1:6" x14ac:dyDescent="0.3">
      <c r="A46" s="10">
        <v>42</v>
      </c>
      <c r="B46" s="11">
        <v>33</v>
      </c>
      <c r="C46" s="8" t="str">
        <f t="shared" si="6"/>
        <v>21</v>
      </c>
      <c r="D46" s="11" t="str">
        <f t="shared" si="7"/>
        <v>00100001</v>
      </c>
      <c r="E46" s="11">
        <f t="shared" si="4"/>
        <v>555885348</v>
      </c>
      <c r="F46" s="21" t="str">
        <f t="shared" si="5"/>
        <v>21222324</v>
      </c>
    </row>
    <row r="47" spans="1:6" x14ac:dyDescent="0.3">
      <c r="A47" s="12">
        <v>43</v>
      </c>
      <c r="B47" s="13">
        <v>34</v>
      </c>
      <c r="C47" s="18" t="str">
        <f t="shared" si="6"/>
        <v>22</v>
      </c>
      <c r="D47" s="13" t="str">
        <f t="shared" si="7"/>
        <v>00100010</v>
      </c>
      <c r="E47" s="13">
        <f t="shared" si="4"/>
        <v>572728357</v>
      </c>
      <c r="F47" s="22" t="str">
        <f t="shared" si="5"/>
        <v>22232425</v>
      </c>
    </row>
    <row r="48" spans="1:6" x14ac:dyDescent="0.3">
      <c r="A48" s="19">
        <v>44</v>
      </c>
      <c r="B48" s="20">
        <v>35</v>
      </c>
      <c r="C48" s="4" t="str">
        <f t="shared" si="6"/>
        <v>23</v>
      </c>
      <c r="D48" s="20" t="str">
        <f t="shared" si="7"/>
        <v>00100011</v>
      </c>
      <c r="E48" s="20">
        <f t="shared" si="4"/>
        <v>589571366</v>
      </c>
      <c r="F48" s="5" t="str">
        <f t="shared" si="5"/>
        <v>23242526</v>
      </c>
    </row>
    <row r="49" spans="1:6" x14ac:dyDescent="0.3">
      <c r="A49" s="10">
        <v>45</v>
      </c>
      <c r="B49" s="11">
        <v>36</v>
      </c>
      <c r="C49" s="8" t="str">
        <f t="shared" si="6"/>
        <v>24</v>
      </c>
      <c r="D49" s="11" t="str">
        <f t="shared" si="7"/>
        <v>00100100</v>
      </c>
      <c r="E49" s="11">
        <f t="shared" si="4"/>
        <v>606414375</v>
      </c>
      <c r="F49" s="21" t="str">
        <f t="shared" si="5"/>
        <v>24252627</v>
      </c>
    </row>
    <row r="50" spans="1:6" x14ac:dyDescent="0.3">
      <c r="A50" s="10">
        <v>46</v>
      </c>
      <c r="B50" s="11">
        <v>37</v>
      </c>
      <c r="C50" s="8" t="str">
        <f t="shared" si="6"/>
        <v>25</v>
      </c>
      <c r="D50" s="11" t="str">
        <f t="shared" si="7"/>
        <v>00100101</v>
      </c>
      <c r="E50" s="11">
        <f t="shared" si="4"/>
        <v>623257384</v>
      </c>
      <c r="F50" s="21" t="str">
        <f t="shared" si="5"/>
        <v>25262728</v>
      </c>
    </row>
    <row r="51" spans="1:6" x14ac:dyDescent="0.3">
      <c r="A51" s="12">
        <v>47</v>
      </c>
      <c r="B51" s="13">
        <v>38</v>
      </c>
      <c r="C51" s="18" t="str">
        <f t="shared" si="6"/>
        <v>26</v>
      </c>
      <c r="D51" s="13" t="str">
        <f t="shared" si="7"/>
        <v>00100110</v>
      </c>
      <c r="E51" s="13">
        <f t="shared" si="4"/>
        <v>640100393</v>
      </c>
      <c r="F51" s="22" t="str">
        <f t="shared" si="5"/>
        <v>26272829</v>
      </c>
    </row>
    <row r="52" spans="1:6" x14ac:dyDescent="0.3">
      <c r="A52" s="19">
        <v>48</v>
      </c>
      <c r="B52" s="20">
        <v>39</v>
      </c>
      <c r="C52" s="4" t="str">
        <f t="shared" si="6"/>
        <v>27</v>
      </c>
      <c r="D52" s="20" t="str">
        <f t="shared" si="7"/>
        <v>00100111</v>
      </c>
      <c r="E52" s="20">
        <f t="shared" si="4"/>
        <v>656943402</v>
      </c>
      <c r="F52" s="5" t="str">
        <f t="shared" si="5"/>
        <v>2728292A</v>
      </c>
    </row>
    <row r="53" spans="1:6" x14ac:dyDescent="0.3">
      <c r="A53" s="10">
        <v>49</v>
      </c>
      <c r="B53" s="11">
        <v>40</v>
      </c>
      <c r="C53" s="8" t="str">
        <f t="shared" si="6"/>
        <v>28</v>
      </c>
      <c r="D53" s="11" t="str">
        <f t="shared" si="7"/>
        <v>00101000</v>
      </c>
      <c r="E53" s="11">
        <f t="shared" si="4"/>
        <v>673786411</v>
      </c>
      <c r="F53" s="21" t="str">
        <f t="shared" si="5"/>
        <v>28292A2B</v>
      </c>
    </row>
    <row r="54" spans="1:6" x14ac:dyDescent="0.3">
      <c r="A54" s="10">
        <v>50</v>
      </c>
      <c r="B54" s="11">
        <v>41</v>
      </c>
      <c r="C54" s="8" t="str">
        <f t="shared" si="6"/>
        <v>29</v>
      </c>
      <c r="D54" s="11" t="str">
        <f t="shared" si="7"/>
        <v>00101001</v>
      </c>
      <c r="E54" s="11">
        <f t="shared" si="4"/>
        <v>690629420</v>
      </c>
      <c r="F54" s="21" t="str">
        <f t="shared" si="5"/>
        <v>292A2B2C</v>
      </c>
    </row>
    <row r="55" spans="1:6" x14ac:dyDescent="0.3">
      <c r="A55" s="12">
        <v>51</v>
      </c>
      <c r="B55" s="13">
        <v>42</v>
      </c>
      <c r="C55" s="18" t="str">
        <f t="shared" si="6"/>
        <v>2A</v>
      </c>
      <c r="D55" s="13" t="str">
        <f t="shared" si="7"/>
        <v>00101010</v>
      </c>
      <c r="E55" s="13">
        <f t="shared" si="4"/>
        <v>707472429</v>
      </c>
      <c r="F55" s="22" t="str">
        <f t="shared" si="5"/>
        <v>2A2B2C2D</v>
      </c>
    </row>
    <row r="56" spans="1:6" x14ac:dyDescent="0.3">
      <c r="A56" s="19">
        <v>52</v>
      </c>
      <c r="B56" s="20">
        <v>43</v>
      </c>
      <c r="C56" s="4" t="str">
        <f t="shared" si="6"/>
        <v>2B</v>
      </c>
      <c r="D56" s="20" t="str">
        <f t="shared" si="7"/>
        <v>00101011</v>
      </c>
      <c r="E56" s="20">
        <f t="shared" si="4"/>
        <v>724315438</v>
      </c>
      <c r="F56" s="5" t="str">
        <f t="shared" si="5"/>
        <v>2B2C2D2E</v>
      </c>
    </row>
    <row r="57" spans="1:6" x14ac:dyDescent="0.3">
      <c r="A57" s="10">
        <v>53</v>
      </c>
      <c r="B57" s="11">
        <v>44</v>
      </c>
      <c r="C57" s="8" t="str">
        <f t="shared" si="6"/>
        <v>2C</v>
      </c>
      <c r="D57" s="11" t="str">
        <f t="shared" si="7"/>
        <v>00101100</v>
      </c>
      <c r="E57" s="11">
        <f t="shared" si="4"/>
        <v>741158447</v>
      </c>
      <c r="F57" s="21" t="str">
        <f t="shared" si="5"/>
        <v>2C2D2E2F</v>
      </c>
    </row>
    <row r="58" spans="1:6" x14ac:dyDescent="0.3">
      <c r="A58" s="10">
        <v>54</v>
      </c>
      <c r="B58" s="11">
        <v>45</v>
      </c>
      <c r="C58" s="8" t="str">
        <f t="shared" si="6"/>
        <v>2D</v>
      </c>
      <c r="D58" s="11" t="str">
        <f t="shared" si="7"/>
        <v>00101101</v>
      </c>
      <c r="E58" s="11">
        <f t="shared" si="4"/>
        <v>758001456</v>
      </c>
      <c r="F58" s="21" t="str">
        <f t="shared" si="5"/>
        <v>2D2E2F30</v>
      </c>
    </row>
    <row r="59" spans="1:6" x14ac:dyDescent="0.3">
      <c r="A59" s="12">
        <v>55</v>
      </c>
      <c r="B59" s="13">
        <v>46</v>
      </c>
      <c r="C59" s="18" t="str">
        <f t="shared" si="6"/>
        <v>2E</v>
      </c>
      <c r="D59" s="13" t="str">
        <f t="shared" si="7"/>
        <v>00101110</v>
      </c>
      <c r="E59" s="13">
        <f t="shared" si="4"/>
        <v>774844465</v>
      </c>
      <c r="F59" s="22" t="str">
        <f t="shared" si="5"/>
        <v>2E2F3031</v>
      </c>
    </row>
    <row r="60" spans="1:6" x14ac:dyDescent="0.3">
      <c r="A60" s="19">
        <v>56</v>
      </c>
      <c r="B60" s="20">
        <v>47</v>
      </c>
      <c r="C60" s="4" t="str">
        <f t="shared" si="6"/>
        <v>2F</v>
      </c>
      <c r="D60" s="20" t="str">
        <f t="shared" si="7"/>
        <v>00101111</v>
      </c>
      <c r="E60" s="20">
        <f t="shared" si="4"/>
        <v>791687474</v>
      </c>
      <c r="F60" s="5" t="str">
        <f t="shared" si="5"/>
        <v>2F303132</v>
      </c>
    </row>
    <row r="61" spans="1:6" x14ac:dyDescent="0.3">
      <c r="A61" s="10">
        <v>57</v>
      </c>
      <c r="B61" s="11">
        <v>48</v>
      </c>
      <c r="C61" s="8" t="str">
        <f t="shared" si="6"/>
        <v>30</v>
      </c>
      <c r="D61" s="11" t="str">
        <f t="shared" si="7"/>
        <v>00110000</v>
      </c>
      <c r="E61" s="11">
        <f t="shared" si="4"/>
        <v>808530483</v>
      </c>
      <c r="F61" s="21" t="str">
        <f t="shared" si="5"/>
        <v>30313233</v>
      </c>
    </row>
    <row r="62" spans="1:6" x14ac:dyDescent="0.3">
      <c r="A62" s="10">
        <v>58</v>
      </c>
      <c r="B62" s="11">
        <v>49</v>
      </c>
      <c r="C62" s="8" t="str">
        <f t="shared" si="6"/>
        <v>31</v>
      </c>
      <c r="D62" s="11" t="str">
        <f t="shared" si="7"/>
        <v>00110001</v>
      </c>
      <c r="E62" s="11">
        <f t="shared" si="4"/>
        <v>825373492</v>
      </c>
      <c r="F62" s="21" t="str">
        <f t="shared" si="5"/>
        <v>31323334</v>
      </c>
    </row>
    <row r="63" spans="1:6" x14ac:dyDescent="0.3">
      <c r="A63" s="12">
        <v>59</v>
      </c>
      <c r="B63" s="13">
        <v>50</v>
      </c>
      <c r="C63" s="18" t="str">
        <f t="shared" si="6"/>
        <v>32</v>
      </c>
      <c r="D63" s="13" t="str">
        <f t="shared" si="7"/>
        <v>00110010</v>
      </c>
      <c r="E63" s="13">
        <f t="shared" si="4"/>
        <v>842216501</v>
      </c>
      <c r="F63" s="22" t="str">
        <f t="shared" si="5"/>
        <v>32333435</v>
      </c>
    </row>
    <row r="64" spans="1:6" x14ac:dyDescent="0.3">
      <c r="A64" s="19">
        <v>60</v>
      </c>
      <c r="B64" s="20">
        <v>51</v>
      </c>
      <c r="C64" s="4" t="str">
        <f t="shared" si="6"/>
        <v>33</v>
      </c>
      <c r="D64" s="20" t="str">
        <f t="shared" si="7"/>
        <v>00110011</v>
      </c>
      <c r="E64" s="20">
        <f t="shared" si="4"/>
        <v>859059510</v>
      </c>
      <c r="F64" s="5" t="str">
        <f t="shared" si="5"/>
        <v>33343536</v>
      </c>
    </row>
    <row r="65" spans="1:6" x14ac:dyDescent="0.3">
      <c r="A65" s="10">
        <v>61</v>
      </c>
      <c r="B65" s="11">
        <v>52</v>
      </c>
      <c r="C65" s="8" t="str">
        <f t="shared" si="6"/>
        <v>34</v>
      </c>
      <c r="D65" s="11" t="str">
        <f t="shared" si="7"/>
        <v>00110100</v>
      </c>
      <c r="E65" s="11">
        <f t="shared" si="4"/>
        <v>875902519</v>
      </c>
      <c r="F65" s="21" t="str">
        <f t="shared" si="5"/>
        <v>34353637</v>
      </c>
    </row>
    <row r="66" spans="1:6" x14ac:dyDescent="0.3">
      <c r="A66" s="10">
        <v>62</v>
      </c>
      <c r="B66" s="11">
        <v>53</v>
      </c>
      <c r="C66" s="8" t="str">
        <f t="shared" si="6"/>
        <v>35</v>
      </c>
      <c r="D66" s="11" t="str">
        <f t="shared" si="7"/>
        <v>00110101</v>
      </c>
      <c r="E66" s="11">
        <f t="shared" si="4"/>
        <v>892745528</v>
      </c>
      <c r="F66" s="21" t="str">
        <f t="shared" si="5"/>
        <v>35363738</v>
      </c>
    </row>
    <row r="67" spans="1:6" x14ac:dyDescent="0.3">
      <c r="A67" s="12">
        <v>63</v>
      </c>
      <c r="B67" s="13">
        <v>54</v>
      </c>
      <c r="C67" s="18" t="str">
        <f t="shared" si="6"/>
        <v>36</v>
      </c>
      <c r="D67" s="13" t="str">
        <f t="shared" si="7"/>
        <v>00110110</v>
      </c>
      <c r="E67" s="13">
        <f t="shared" si="4"/>
        <v>909588537</v>
      </c>
      <c r="F67" s="22" t="str">
        <f t="shared" si="5"/>
        <v>36373839</v>
      </c>
    </row>
    <row r="68" spans="1:6" x14ac:dyDescent="0.3">
      <c r="A68" s="19">
        <v>64</v>
      </c>
      <c r="B68" s="20">
        <v>55</v>
      </c>
      <c r="C68" s="4" t="str">
        <f t="shared" si="6"/>
        <v>37</v>
      </c>
      <c r="D68" s="20" t="str">
        <f t="shared" si="7"/>
        <v>00110111</v>
      </c>
      <c r="E68" s="20">
        <f t="shared" si="4"/>
        <v>926431546</v>
      </c>
      <c r="F68" s="5" t="str">
        <f t="shared" si="5"/>
        <v>3738393A</v>
      </c>
    </row>
    <row r="69" spans="1:6" x14ac:dyDescent="0.3">
      <c r="A69" s="10">
        <v>65</v>
      </c>
      <c r="B69" s="11">
        <v>56</v>
      </c>
      <c r="C69" s="8" t="str">
        <f t="shared" si="6"/>
        <v>38</v>
      </c>
      <c r="D69" s="11" t="str">
        <f t="shared" si="7"/>
        <v>00111000</v>
      </c>
      <c r="E69" s="11">
        <f t="shared" si="4"/>
        <v>943274555</v>
      </c>
      <c r="F69" s="21" t="str">
        <f t="shared" si="5"/>
        <v>38393A3B</v>
      </c>
    </row>
    <row r="70" spans="1:6" x14ac:dyDescent="0.3">
      <c r="A70" s="10">
        <v>66</v>
      </c>
      <c r="B70" s="11">
        <v>57</v>
      </c>
      <c r="C70" s="8" t="str">
        <f t="shared" si="6"/>
        <v>39</v>
      </c>
      <c r="D70" s="11" t="str">
        <f t="shared" si="7"/>
        <v>00111001</v>
      </c>
      <c r="E70" s="11">
        <f t="shared" si="4"/>
        <v>960117564</v>
      </c>
      <c r="F70" s="21" t="str">
        <f t="shared" si="5"/>
        <v>393A3B3C</v>
      </c>
    </row>
    <row r="71" spans="1:6" x14ac:dyDescent="0.3">
      <c r="A71" s="12">
        <v>67</v>
      </c>
      <c r="B71" s="13">
        <v>58</v>
      </c>
      <c r="C71" s="18" t="str">
        <f t="shared" si="6"/>
        <v>3A</v>
      </c>
      <c r="D71" s="13" t="str">
        <f t="shared" si="7"/>
        <v>00111010</v>
      </c>
      <c r="E71" s="13">
        <f t="shared" si="4"/>
        <v>976960573</v>
      </c>
      <c r="F71" s="22" t="str">
        <f t="shared" si="5"/>
        <v>3A3B3C3D</v>
      </c>
    </row>
    <row r="72" spans="1:6" x14ac:dyDescent="0.3">
      <c r="A72" s="19">
        <v>68</v>
      </c>
      <c r="B72" s="20">
        <v>59</v>
      </c>
      <c r="C72" s="4" t="str">
        <f t="shared" si="6"/>
        <v>3B</v>
      </c>
      <c r="D72" s="20" t="str">
        <f t="shared" si="7"/>
        <v>00111011</v>
      </c>
      <c r="E72" s="20">
        <f t="shared" si="4"/>
        <v>993803582</v>
      </c>
      <c r="F72" s="5" t="str">
        <f t="shared" si="5"/>
        <v>3B3C3D3E</v>
      </c>
    </row>
    <row r="73" spans="1:6" x14ac:dyDescent="0.3">
      <c r="A73" s="10">
        <v>69</v>
      </c>
      <c r="B73" s="11">
        <v>60</v>
      </c>
      <c r="C73" s="8" t="str">
        <f t="shared" si="6"/>
        <v>3C</v>
      </c>
      <c r="D73" s="11" t="str">
        <f t="shared" si="7"/>
        <v>00111100</v>
      </c>
      <c r="E73" s="11">
        <f t="shared" si="4"/>
        <v>1010646591</v>
      </c>
      <c r="F73" s="21" t="str">
        <f t="shared" si="5"/>
        <v>3C3D3E3F</v>
      </c>
    </row>
    <row r="74" spans="1:6" x14ac:dyDescent="0.3">
      <c r="A74" s="10">
        <v>70</v>
      </c>
      <c r="B74" s="11">
        <v>61</v>
      </c>
      <c r="C74" s="8" t="str">
        <f t="shared" si="6"/>
        <v>3D</v>
      </c>
      <c r="D74" s="11" t="str">
        <f t="shared" si="7"/>
        <v>00111101</v>
      </c>
      <c r="E74" s="11">
        <f t="shared" si="4"/>
        <v>1027489600</v>
      </c>
      <c r="F74" s="21" t="str">
        <f t="shared" si="5"/>
        <v>3D3E3F40</v>
      </c>
    </row>
    <row r="75" spans="1:6" x14ac:dyDescent="0.3">
      <c r="A75" s="12">
        <v>71</v>
      </c>
      <c r="B75" s="13">
        <v>62</v>
      </c>
      <c r="C75" s="18" t="str">
        <f t="shared" si="6"/>
        <v>3E</v>
      </c>
      <c r="D75" s="13" t="str">
        <f t="shared" si="7"/>
        <v>00111110</v>
      </c>
      <c r="E75" s="13">
        <f t="shared" si="4"/>
        <v>1044332609</v>
      </c>
      <c r="F75" s="22" t="str">
        <f t="shared" si="5"/>
        <v>3E3F4041</v>
      </c>
    </row>
    <row r="76" spans="1:6" x14ac:dyDescent="0.3">
      <c r="A76" s="19">
        <v>72</v>
      </c>
      <c r="B76" s="20">
        <v>63</v>
      </c>
      <c r="C76" s="4" t="str">
        <f t="shared" si="6"/>
        <v>3F</v>
      </c>
      <c r="D76" s="20" t="str">
        <f t="shared" si="7"/>
        <v>00111111</v>
      </c>
      <c r="E76" s="20">
        <f t="shared" si="4"/>
        <v>1061175618</v>
      </c>
      <c r="F76" s="5" t="str">
        <f t="shared" si="5"/>
        <v>3F404142</v>
      </c>
    </row>
    <row r="77" spans="1:6" x14ac:dyDescent="0.3">
      <c r="A77" s="10">
        <v>73</v>
      </c>
      <c r="B77" s="11">
        <v>64</v>
      </c>
      <c r="C77" s="8" t="str">
        <f t="shared" si="6"/>
        <v>40</v>
      </c>
      <c r="D77" s="11" t="str">
        <f t="shared" si="7"/>
        <v>01000000</v>
      </c>
      <c r="E77" s="11">
        <f t="shared" si="4"/>
        <v>1078018627</v>
      </c>
      <c r="F77" s="21" t="str">
        <f t="shared" si="5"/>
        <v>40414243</v>
      </c>
    </row>
    <row r="78" spans="1:6" x14ac:dyDescent="0.3">
      <c r="A78" s="10">
        <v>74</v>
      </c>
      <c r="B78" s="11">
        <v>65</v>
      </c>
      <c r="C78" s="8" t="str">
        <f t="shared" si="6"/>
        <v>41</v>
      </c>
      <c r="D78" s="11" t="str">
        <f t="shared" si="7"/>
        <v>01000001</v>
      </c>
      <c r="E78" s="11">
        <f t="shared" si="4"/>
        <v>1094861636</v>
      </c>
      <c r="F78" s="21" t="str">
        <f t="shared" si="5"/>
        <v>41424344</v>
      </c>
    </row>
    <row r="79" spans="1:6" x14ac:dyDescent="0.3">
      <c r="A79" s="12">
        <v>75</v>
      </c>
      <c r="B79" s="13">
        <v>66</v>
      </c>
      <c r="C79" s="18" t="str">
        <f t="shared" si="6"/>
        <v>42</v>
      </c>
      <c r="D79" s="13" t="str">
        <f t="shared" si="7"/>
        <v>01000010</v>
      </c>
      <c r="E79" s="13">
        <f t="shared" ref="E79:E142" si="8">B82+B81*2^8+B80*2^16+B79*2^24</f>
        <v>1111704645</v>
      </c>
      <c r="F79" s="22" t="str">
        <f t="shared" ref="F79:F142" si="9">DEC2HEX(E79,8)</f>
        <v>42434445</v>
      </c>
    </row>
    <row r="80" spans="1:6" x14ac:dyDescent="0.3">
      <c r="A80" s="19">
        <v>76</v>
      </c>
      <c r="B80" s="20">
        <v>67</v>
      </c>
      <c r="C80" s="4" t="str">
        <f t="shared" ref="C80:C143" si="10">DEC2HEX(B80,2)</f>
        <v>43</v>
      </c>
      <c r="D80" s="20" t="str">
        <f t="shared" ref="D80:D143" si="11">DEC2BIN(B80,8)</f>
        <v>01000011</v>
      </c>
      <c r="E80" s="20">
        <f t="shared" si="8"/>
        <v>1128547654</v>
      </c>
      <c r="F80" s="5" t="str">
        <f t="shared" si="9"/>
        <v>43444546</v>
      </c>
    </row>
    <row r="81" spans="1:6" x14ac:dyDescent="0.3">
      <c r="A81" s="10">
        <v>77</v>
      </c>
      <c r="B81" s="11">
        <v>68</v>
      </c>
      <c r="C81" s="8" t="str">
        <f t="shared" si="10"/>
        <v>44</v>
      </c>
      <c r="D81" s="11" t="str">
        <f t="shared" si="11"/>
        <v>01000100</v>
      </c>
      <c r="E81" s="11">
        <f t="shared" si="8"/>
        <v>1145390663</v>
      </c>
      <c r="F81" s="21" t="str">
        <f t="shared" si="9"/>
        <v>44454647</v>
      </c>
    </row>
    <row r="82" spans="1:6" x14ac:dyDescent="0.3">
      <c r="A82" s="10">
        <v>78</v>
      </c>
      <c r="B82" s="11">
        <v>69</v>
      </c>
      <c r="C82" s="8" t="str">
        <f t="shared" si="10"/>
        <v>45</v>
      </c>
      <c r="D82" s="11" t="str">
        <f t="shared" si="11"/>
        <v>01000101</v>
      </c>
      <c r="E82" s="11">
        <f t="shared" si="8"/>
        <v>1162233672</v>
      </c>
      <c r="F82" s="21" t="str">
        <f t="shared" si="9"/>
        <v>45464748</v>
      </c>
    </row>
    <row r="83" spans="1:6" x14ac:dyDescent="0.3">
      <c r="A83" s="12">
        <v>79</v>
      </c>
      <c r="B83" s="13">
        <v>70</v>
      </c>
      <c r="C83" s="18" t="str">
        <f t="shared" si="10"/>
        <v>46</v>
      </c>
      <c r="D83" s="13" t="str">
        <f t="shared" si="11"/>
        <v>01000110</v>
      </c>
      <c r="E83" s="13">
        <f t="shared" si="8"/>
        <v>1179076681</v>
      </c>
      <c r="F83" s="22" t="str">
        <f t="shared" si="9"/>
        <v>46474849</v>
      </c>
    </row>
    <row r="84" spans="1:6" x14ac:dyDescent="0.3">
      <c r="A84" s="19">
        <v>80</v>
      </c>
      <c r="B84" s="20">
        <v>71</v>
      </c>
      <c r="C84" s="4" t="str">
        <f t="shared" si="10"/>
        <v>47</v>
      </c>
      <c r="D84" s="20" t="str">
        <f t="shared" si="11"/>
        <v>01000111</v>
      </c>
      <c r="E84" s="20">
        <f t="shared" si="8"/>
        <v>1195919690</v>
      </c>
      <c r="F84" s="5" t="str">
        <f t="shared" si="9"/>
        <v>4748494A</v>
      </c>
    </row>
    <row r="85" spans="1:6" x14ac:dyDescent="0.3">
      <c r="A85" s="10">
        <v>81</v>
      </c>
      <c r="B85" s="11">
        <v>72</v>
      </c>
      <c r="C85" s="8" t="str">
        <f t="shared" si="10"/>
        <v>48</v>
      </c>
      <c r="D85" s="11" t="str">
        <f t="shared" si="11"/>
        <v>01001000</v>
      </c>
      <c r="E85" s="11">
        <f t="shared" si="8"/>
        <v>1212762699</v>
      </c>
      <c r="F85" s="21" t="str">
        <f t="shared" si="9"/>
        <v>48494A4B</v>
      </c>
    </row>
    <row r="86" spans="1:6" x14ac:dyDescent="0.3">
      <c r="A86" s="10">
        <v>82</v>
      </c>
      <c r="B86" s="11">
        <v>73</v>
      </c>
      <c r="C86" s="8" t="str">
        <f t="shared" si="10"/>
        <v>49</v>
      </c>
      <c r="D86" s="11" t="str">
        <f t="shared" si="11"/>
        <v>01001001</v>
      </c>
      <c r="E86" s="11">
        <f t="shared" si="8"/>
        <v>1229605708</v>
      </c>
      <c r="F86" s="21" t="str">
        <f t="shared" si="9"/>
        <v>494A4B4C</v>
      </c>
    </row>
    <row r="87" spans="1:6" x14ac:dyDescent="0.3">
      <c r="A87" s="12">
        <v>83</v>
      </c>
      <c r="B87" s="13">
        <v>74</v>
      </c>
      <c r="C87" s="18" t="str">
        <f t="shared" si="10"/>
        <v>4A</v>
      </c>
      <c r="D87" s="13" t="str">
        <f t="shared" si="11"/>
        <v>01001010</v>
      </c>
      <c r="E87" s="13">
        <f t="shared" si="8"/>
        <v>1246448717</v>
      </c>
      <c r="F87" s="22" t="str">
        <f t="shared" si="9"/>
        <v>4A4B4C4D</v>
      </c>
    </row>
    <row r="88" spans="1:6" x14ac:dyDescent="0.3">
      <c r="A88" s="19">
        <v>84</v>
      </c>
      <c r="B88" s="20">
        <v>75</v>
      </c>
      <c r="C88" s="4" t="str">
        <f t="shared" si="10"/>
        <v>4B</v>
      </c>
      <c r="D88" s="20" t="str">
        <f t="shared" si="11"/>
        <v>01001011</v>
      </c>
      <c r="E88" s="20">
        <f t="shared" si="8"/>
        <v>1263291726</v>
      </c>
      <c r="F88" s="5" t="str">
        <f t="shared" si="9"/>
        <v>4B4C4D4E</v>
      </c>
    </row>
    <row r="89" spans="1:6" x14ac:dyDescent="0.3">
      <c r="A89" s="10">
        <v>85</v>
      </c>
      <c r="B89" s="11">
        <v>76</v>
      </c>
      <c r="C89" s="8" t="str">
        <f t="shared" si="10"/>
        <v>4C</v>
      </c>
      <c r="D89" s="11" t="str">
        <f t="shared" si="11"/>
        <v>01001100</v>
      </c>
      <c r="E89" s="11">
        <f t="shared" si="8"/>
        <v>1280134735</v>
      </c>
      <c r="F89" s="21" t="str">
        <f t="shared" si="9"/>
        <v>4C4D4E4F</v>
      </c>
    </row>
    <row r="90" spans="1:6" x14ac:dyDescent="0.3">
      <c r="A90" s="10">
        <v>86</v>
      </c>
      <c r="B90" s="11">
        <v>77</v>
      </c>
      <c r="C90" s="8" t="str">
        <f t="shared" si="10"/>
        <v>4D</v>
      </c>
      <c r="D90" s="11" t="str">
        <f t="shared" si="11"/>
        <v>01001101</v>
      </c>
      <c r="E90" s="11">
        <f t="shared" si="8"/>
        <v>1296977744</v>
      </c>
      <c r="F90" s="21" t="str">
        <f t="shared" si="9"/>
        <v>4D4E4F50</v>
      </c>
    </row>
    <row r="91" spans="1:6" x14ac:dyDescent="0.3">
      <c r="A91" s="12">
        <v>87</v>
      </c>
      <c r="B91" s="13">
        <v>78</v>
      </c>
      <c r="C91" s="18" t="str">
        <f t="shared" si="10"/>
        <v>4E</v>
      </c>
      <c r="D91" s="13" t="str">
        <f t="shared" si="11"/>
        <v>01001110</v>
      </c>
      <c r="E91" s="13">
        <f t="shared" si="8"/>
        <v>1313820753</v>
      </c>
      <c r="F91" s="22" t="str">
        <f t="shared" si="9"/>
        <v>4E4F5051</v>
      </c>
    </row>
    <row r="92" spans="1:6" x14ac:dyDescent="0.3">
      <c r="A92" s="19">
        <v>88</v>
      </c>
      <c r="B92" s="20">
        <v>79</v>
      </c>
      <c r="C92" s="4" t="str">
        <f t="shared" si="10"/>
        <v>4F</v>
      </c>
      <c r="D92" s="20" t="str">
        <f t="shared" si="11"/>
        <v>01001111</v>
      </c>
      <c r="E92" s="20">
        <f t="shared" si="8"/>
        <v>1330663762</v>
      </c>
      <c r="F92" s="5" t="str">
        <f t="shared" si="9"/>
        <v>4F505152</v>
      </c>
    </row>
    <row r="93" spans="1:6" x14ac:dyDescent="0.3">
      <c r="A93" s="10">
        <v>89</v>
      </c>
      <c r="B93" s="11">
        <v>80</v>
      </c>
      <c r="C93" s="8" t="str">
        <f t="shared" si="10"/>
        <v>50</v>
      </c>
      <c r="D93" s="11" t="str">
        <f t="shared" si="11"/>
        <v>01010000</v>
      </c>
      <c r="E93" s="11">
        <f t="shared" si="8"/>
        <v>1347506771</v>
      </c>
      <c r="F93" s="21" t="str">
        <f t="shared" si="9"/>
        <v>50515253</v>
      </c>
    </row>
    <row r="94" spans="1:6" x14ac:dyDescent="0.3">
      <c r="A94" s="10">
        <v>90</v>
      </c>
      <c r="B94" s="11">
        <v>81</v>
      </c>
      <c r="C94" s="8" t="str">
        <f t="shared" si="10"/>
        <v>51</v>
      </c>
      <c r="D94" s="11" t="str">
        <f t="shared" si="11"/>
        <v>01010001</v>
      </c>
      <c r="E94" s="11">
        <f t="shared" si="8"/>
        <v>1364349780</v>
      </c>
      <c r="F94" s="21" t="str">
        <f t="shared" si="9"/>
        <v>51525354</v>
      </c>
    </row>
    <row r="95" spans="1:6" x14ac:dyDescent="0.3">
      <c r="A95" s="12">
        <v>91</v>
      </c>
      <c r="B95" s="13">
        <v>82</v>
      </c>
      <c r="C95" s="18" t="str">
        <f t="shared" si="10"/>
        <v>52</v>
      </c>
      <c r="D95" s="13" t="str">
        <f t="shared" si="11"/>
        <v>01010010</v>
      </c>
      <c r="E95" s="13">
        <f t="shared" si="8"/>
        <v>1381192789</v>
      </c>
      <c r="F95" s="22" t="str">
        <f t="shared" si="9"/>
        <v>52535455</v>
      </c>
    </row>
    <row r="96" spans="1:6" x14ac:dyDescent="0.3">
      <c r="A96" s="19">
        <v>92</v>
      </c>
      <c r="B96" s="20">
        <v>83</v>
      </c>
      <c r="C96" s="4" t="str">
        <f t="shared" si="10"/>
        <v>53</v>
      </c>
      <c r="D96" s="20" t="str">
        <f t="shared" si="11"/>
        <v>01010011</v>
      </c>
      <c r="E96" s="20">
        <f t="shared" si="8"/>
        <v>1398035798</v>
      </c>
      <c r="F96" s="5" t="str">
        <f t="shared" si="9"/>
        <v>53545556</v>
      </c>
    </row>
    <row r="97" spans="1:6" x14ac:dyDescent="0.3">
      <c r="A97" s="10">
        <v>93</v>
      </c>
      <c r="B97" s="11">
        <v>84</v>
      </c>
      <c r="C97" s="8" t="str">
        <f t="shared" si="10"/>
        <v>54</v>
      </c>
      <c r="D97" s="11" t="str">
        <f t="shared" si="11"/>
        <v>01010100</v>
      </c>
      <c r="E97" s="11">
        <f t="shared" si="8"/>
        <v>1414878807</v>
      </c>
      <c r="F97" s="21" t="str">
        <f t="shared" si="9"/>
        <v>54555657</v>
      </c>
    </row>
    <row r="98" spans="1:6" x14ac:dyDescent="0.3">
      <c r="A98" s="10">
        <v>94</v>
      </c>
      <c r="B98" s="11">
        <v>85</v>
      </c>
      <c r="C98" s="8" t="str">
        <f t="shared" si="10"/>
        <v>55</v>
      </c>
      <c r="D98" s="11" t="str">
        <f t="shared" si="11"/>
        <v>01010101</v>
      </c>
      <c r="E98" s="11">
        <f t="shared" si="8"/>
        <v>1431721816</v>
      </c>
      <c r="F98" s="21" t="str">
        <f t="shared" si="9"/>
        <v>55565758</v>
      </c>
    </row>
    <row r="99" spans="1:6" x14ac:dyDescent="0.3">
      <c r="A99" s="12">
        <v>95</v>
      </c>
      <c r="B99" s="13">
        <v>86</v>
      </c>
      <c r="C99" s="18" t="str">
        <f t="shared" si="10"/>
        <v>56</v>
      </c>
      <c r="D99" s="13" t="str">
        <f t="shared" si="11"/>
        <v>01010110</v>
      </c>
      <c r="E99" s="13">
        <f t="shared" si="8"/>
        <v>1448564825</v>
      </c>
      <c r="F99" s="22" t="str">
        <f t="shared" si="9"/>
        <v>56575859</v>
      </c>
    </row>
    <row r="100" spans="1:6" x14ac:dyDescent="0.3">
      <c r="A100" s="19">
        <v>96</v>
      </c>
      <c r="B100" s="20">
        <v>87</v>
      </c>
      <c r="C100" s="4" t="str">
        <f t="shared" si="10"/>
        <v>57</v>
      </c>
      <c r="D100" s="20" t="str">
        <f t="shared" si="11"/>
        <v>01010111</v>
      </c>
      <c r="E100" s="20">
        <f t="shared" si="8"/>
        <v>1465407834</v>
      </c>
      <c r="F100" s="5" t="str">
        <f t="shared" si="9"/>
        <v>5758595A</v>
      </c>
    </row>
    <row r="101" spans="1:6" x14ac:dyDescent="0.3">
      <c r="A101" s="10">
        <v>97</v>
      </c>
      <c r="B101" s="11">
        <v>88</v>
      </c>
      <c r="C101" s="8" t="str">
        <f t="shared" si="10"/>
        <v>58</v>
      </c>
      <c r="D101" s="11" t="str">
        <f t="shared" si="11"/>
        <v>01011000</v>
      </c>
      <c r="E101" s="11">
        <f t="shared" si="8"/>
        <v>1482250843</v>
      </c>
      <c r="F101" s="21" t="str">
        <f t="shared" si="9"/>
        <v>58595A5B</v>
      </c>
    </row>
    <row r="102" spans="1:6" x14ac:dyDescent="0.3">
      <c r="A102" s="10">
        <v>98</v>
      </c>
      <c r="B102" s="11">
        <v>89</v>
      </c>
      <c r="C102" s="8" t="str">
        <f t="shared" si="10"/>
        <v>59</v>
      </c>
      <c r="D102" s="11" t="str">
        <f t="shared" si="11"/>
        <v>01011001</v>
      </c>
      <c r="E102" s="11">
        <f t="shared" si="8"/>
        <v>1499093852</v>
      </c>
      <c r="F102" s="21" t="str">
        <f t="shared" si="9"/>
        <v>595A5B5C</v>
      </c>
    </row>
    <row r="103" spans="1:6" x14ac:dyDescent="0.3">
      <c r="A103" s="12">
        <v>99</v>
      </c>
      <c r="B103" s="13">
        <v>90</v>
      </c>
      <c r="C103" s="18" t="str">
        <f t="shared" si="10"/>
        <v>5A</v>
      </c>
      <c r="D103" s="13" t="str">
        <f t="shared" si="11"/>
        <v>01011010</v>
      </c>
      <c r="E103" s="13">
        <f t="shared" si="8"/>
        <v>1515936861</v>
      </c>
      <c r="F103" s="22" t="str">
        <f t="shared" si="9"/>
        <v>5A5B5C5D</v>
      </c>
    </row>
    <row r="104" spans="1:6" x14ac:dyDescent="0.3">
      <c r="A104" s="19">
        <v>100</v>
      </c>
      <c r="B104" s="20">
        <v>91</v>
      </c>
      <c r="C104" s="4" t="str">
        <f t="shared" si="10"/>
        <v>5B</v>
      </c>
      <c r="D104" s="20" t="str">
        <f t="shared" si="11"/>
        <v>01011011</v>
      </c>
      <c r="E104" s="20">
        <f t="shared" si="8"/>
        <v>1532779870</v>
      </c>
      <c r="F104" s="5" t="str">
        <f t="shared" si="9"/>
        <v>5B5C5D5E</v>
      </c>
    </row>
    <row r="105" spans="1:6" x14ac:dyDescent="0.3">
      <c r="A105" s="10">
        <v>101</v>
      </c>
      <c r="B105" s="11">
        <v>92</v>
      </c>
      <c r="C105" s="8" t="str">
        <f t="shared" si="10"/>
        <v>5C</v>
      </c>
      <c r="D105" s="11" t="str">
        <f t="shared" si="11"/>
        <v>01011100</v>
      </c>
      <c r="E105" s="11">
        <f t="shared" si="8"/>
        <v>1549622879</v>
      </c>
      <c r="F105" s="21" t="str">
        <f t="shared" si="9"/>
        <v>5C5D5E5F</v>
      </c>
    </row>
    <row r="106" spans="1:6" x14ac:dyDescent="0.3">
      <c r="A106" s="10">
        <v>102</v>
      </c>
      <c r="B106" s="11">
        <v>93</v>
      </c>
      <c r="C106" s="8" t="str">
        <f t="shared" si="10"/>
        <v>5D</v>
      </c>
      <c r="D106" s="11" t="str">
        <f t="shared" si="11"/>
        <v>01011101</v>
      </c>
      <c r="E106" s="11">
        <f t="shared" si="8"/>
        <v>1566465888</v>
      </c>
      <c r="F106" s="21" t="str">
        <f t="shared" si="9"/>
        <v>5D5E5F60</v>
      </c>
    </row>
    <row r="107" spans="1:6" x14ac:dyDescent="0.3">
      <c r="A107" s="12">
        <v>103</v>
      </c>
      <c r="B107" s="13">
        <v>94</v>
      </c>
      <c r="C107" s="18" t="str">
        <f t="shared" si="10"/>
        <v>5E</v>
      </c>
      <c r="D107" s="13" t="str">
        <f t="shared" si="11"/>
        <v>01011110</v>
      </c>
      <c r="E107" s="13">
        <f t="shared" si="8"/>
        <v>1583308897</v>
      </c>
      <c r="F107" s="22" t="str">
        <f t="shared" si="9"/>
        <v>5E5F6061</v>
      </c>
    </row>
    <row r="108" spans="1:6" x14ac:dyDescent="0.3">
      <c r="A108" s="19">
        <v>104</v>
      </c>
      <c r="B108" s="20">
        <v>95</v>
      </c>
      <c r="C108" s="4" t="str">
        <f t="shared" si="10"/>
        <v>5F</v>
      </c>
      <c r="D108" s="20" t="str">
        <f t="shared" si="11"/>
        <v>01011111</v>
      </c>
      <c r="E108" s="20">
        <f t="shared" si="8"/>
        <v>1600151906</v>
      </c>
      <c r="F108" s="5" t="str">
        <f t="shared" si="9"/>
        <v>5F606162</v>
      </c>
    </row>
    <row r="109" spans="1:6" x14ac:dyDescent="0.3">
      <c r="A109" s="10">
        <v>105</v>
      </c>
      <c r="B109" s="11">
        <v>96</v>
      </c>
      <c r="C109" s="8" t="str">
        <f t="shared" si="10"/>
        <v>60</v>
      </c>
      <c r="D109" s="11" t="str">
        <f t="shared" si="11"/>
        <v>01100000</v>
      </c>
      <c r="E109" s="11">
        <f t="shared" si="8"/>
        <v>1616994915</v>
      </c>
      <c r="F109" s="21" t="str">
        <f t="shared" si="9"/>
        <v>60616263</v>
      </c>
    </row>
    <row r="110" spans="1:6" x14ac:dyDescent="0.3">
      <c r="A110" s="10">
        <v>106</v>
      </c>
      <c r="B110" s="11">
        <v>97</v>
      </c>
      <c r="C110" s="8" t="str">
        <f t="shared" si="10"/>
        <v>61</v>
      </c>
      <c r="D110" s="11" t="str">
        <f t="shared" si="11"/>
        <v>01100001</v>
      </c>
      <c r="E110" s="11">
        <f t="shared" si="8"/>
        <v>1633837924</v>
      </c>
      <c r="F110" s="21" t="str">
        <f t="shared" si="9"/>
        <v>61626364</v>
      </c>
    </row>
    <row r="111" spans="1:6" x14ac:dyDescent="0.3">
      <c r="A111" s="12">
        <v>107</v>
      </c>
      <c r="B111" s="13">
        <v>98</v>
      </c>
      <c r="C111" s="18" t="str">
        <f t="shared" si="10"/>
        <v>62</v>
      </c>
      <c r="D111" s="13" t="str">
        <f t="shared" si="11"/>
        <v>01100010</v>
      </c>
      <c r="E111" s="13">
        <f t="shared" si="8"/>
        <v>1650680933</v>
      </c>
      <c r="F111" s="22" t="str">
        <f t="shared" si="9"/>
        <v>62636465</v>
      </c>
    </row>
    <row r="112" spans="1:6" x14ac:dyDescent="0.3">
      <c r="A112" s="19">
        <v>108</v>
      </c>
      <c r="B112" s="20">
        <v>99</v>
      </c>
      <c r="C112" s="4" t="str">
        <f t="shared" si="10"/>
        <v>63</v>
      </c>
      <c r="D112" s="20" t="str">
        <f t="shared" si="11"/>
        <v>01100011</v>
      </c>
      <c r="E112" s="20">
        <f t="shared" si="8"/>
        <v>1667523942</v>
      </c>
      <c r="F112" s="5" t="str">
        <f t="shared" si="9"/>
        <v>63646566</v>
      </c>
    </row>
    <row r="113" spans="1:6" x14ac:dyDescent="0.3">
      <c r="A113" s="10">
        <v>109</v>
      </c>
      <c r="B113" s="11">
        <v>100</v>
      </c>
      <c r="C113" s="8" t="str">
        <f t="shared" si="10"/>
        <v>64</v>
      </c>
      <c r="D113" s="11" t="str">
        <f t="shared" si="11"/>
        <v>01100100</v>
      </c>
      <c r="E113" s="11">
        <f t="shared" si="8"/>
        <v>1684366951</v>
      </c>
      <c r="F113" s="21" t="str">
        <f t="shared" si="9"/>
        <v>64656667</v>
      </c>
    </row>
    <row r="114" spans="1:6" x14ac:dyDescent="0.3">
      <c r="A114" s="10">
        <v>110</v>
      </c>
      <c r="B114" s="11">
        <v>101</v>
      </c>
      <c r="C114" s="8" t="str">
        <f t="shared" si="10"/>
        <v>65</v>
      </c>
      <c r="D114" s="11" t="str">
        <f t="shared" si="11"/>
        <v>01100101</v>
      </c>
      <c r="E114" s="11">
        <f t="shared" si="8"/>
        <v>1701209960</v>
      </c>
      <c r="F114" s="21" t="str">
        <f t="shared" si="9"/>
        <v>65666768</v>
      </c>
    </row>
    <row r="115" spans="1:6" x14ac:dyDescent="0.3">
      <c r="A115" s="12">
        <v>111</v>
      </c>
      <c r="B115" s="13">
        <v>102</v>
      </c>
      <c r="C115" s="18" t="str">
        <f t="shared" si="10"/>
        <v>66</v>
      </c>
      <c r="D115" s="13" t="str">
        <f t="shared" si="11"/>
        <v>01100110</v>
      </c>
      <c r="E115" s="13">
        <f t="shared" si="8"/>
        <v>1718052969</v>
      </c>
      <c r="F115" s="22" t="str">
        <f t="shared" si="9"/>
        <v>66676869</v>
      </c>
    </row>
    <row r="116" spans="1:6" x14ac:dyDescent="0.3">
      <c r="A116" s="19">
        <v>112</v>
      </c>
      <c r="B116" s="20">
        <v>103</v>
      </c>
      <c r="C116" s="4" t="str">
        <f t="shared" si="10"/>
        <v>67</v>
      </c>
      <c r="D116" s="20" t="str">
        <f t="shared" si="11"/>
        <v>01100111</v>
      </c>
      <c r="E116" s="20">
        <f t="shared" si="8"/>
        <v>1734895978</v>
      </c>
      <c r="F116" s="5" t="str">
        <f t="shared" si="9"/>
        <v>6768696A</v>
      </c>
    </row>
    <row r="117" spans="1:6" x14ac:dyDescent="0.3">
      <c r="A117" s="10">
        <v>113</v>
      </c>
      <c r="B117" s="11">
        <v>104</v>
      </c>
      <c r="C117" s="8" t="str">
        <f t="shared" si="10"/>
        <v>68</v>
      </c>
      <c r="D117" s="11" t="str">
        <f t="shared" si="11"/>
        <v>01101000</v>
      </c>
      <c r="E117" s="11">
        <f t="shared" si="8"/>
        <v>1751738987</v>
      </c>
      <c r="F117" s="21" t="str">
        <f t="shared" si="9"/>
        <v>68696A6B</v>
      </c>
    </row>
    <row r="118" spans="1:6" x14ac:dyDescent="0.3">
      <c r="A118" s="10">
        <v>114</v>
      </c>
      <c r="B118" s="11">
        <v>105</v>
      </c>
      <c r="C118" s="8" t="str">
        <f t="shared" si="10"/>
        <v>69</v>
      </c>
      <c r="D118" s="11" t="str">
        <f t="shared" si="11"/>
        <v>01101001</v>
      </c>
      <c r="E118" s="11">
        <f t="shared" si="8"/>
        <v>1768581996</v>
      </c>
      <c r="F118" s="21" t="str">
        <f t="shared" si="9"/>
        <v>696A6B6C</v>
      </c>
    </row>
    <row r="119" spans="1:6" x14ac:dyDescent="0.3">
      <c r="A119" s="12">
        <v>115</v>
      </c>
      <c r="B119" s="13">
        <v>106</v>
      </c>
      <c r="C119" s="18" t="str">
        <f t="shared" si="10"/>
        <v>6A</v>
      </c>
      <c r="D119" s="13" t="str">
        <f t="shared" si="11"/>
        <v>01101010</v>
      </c>
      <c r="E119" s="13">
        <f t="shared" si="8"/>
        <v>1785425005</v>
      </c>
      <c r="F119" s="22" t="str">
        <f t="shared" si="9"/>
        <v>6A6B6C6D</v>
      </c>
    </row>
    <row r="120" spans="1:6" x14ac:dyDescent="0.3">
      <c r="A120" s="19">
        <v>116</v>
      </c>
      <c r="B120" s="20">
        <v>107</v>
      </c>
      <c r="C120" s="4" t="str">
        <f t="shared" si="10"/>
        <v>6B</v>
      </c>
      <c r="D120" s="20" t="str">
        <f t="shared" si="11"/>
        <v>01101011</v>
      </c>
      <c r="E120" s="20">
        <f t="shared" si="8"/>
        <v>1802268014</v>
      </c>
      <c r="F120" s="5" t="str">
        <f t="shared" si="9"/>
        <v>6B6C6D6E</v>
      </c>
    </row>
    <row r="121" spans="1:6" x14ac:dyDescent="0.3">
      <c r="A121" s="10">
        <v>117</v>
      </c>
      <c r="B121" s="11">
        <v>108</v>
      </c>
      <c r="C121" s="8" t="str">
        <f t="shared" si="10"/>
        <v>6C</v>
      </c>
      <c r="D121" s="11" t="str">
        <f t="shared" si="11"/>
        <v>01101100</v>
      </c>
      <c r="E121" s="11">
        <f t="shared" si="8"/>
        <v>1819111023</v>
      </c>
      <c r="F121" s="21" t="str">
        <f t="shared" si="9"/>
        <v>6C6D6E6F</v>
      </c>
    </row>
    <row r="122" spans="1:6" x14ac:dyDescent="0.3">
      <c r="A122" s="10">
        <v>118</v>
      </c>
      <c r="B122" s="11">
        <v>109</v>
      </c>
      <c r="C122" s="8" t="str">
        <f t="shared" si="10"/>
        <v>6D</v>
      </c>
      <c r="D122" s="11" t="str">
        <f t="shared" si="11"/>
        <v>01101101</v>
      </c>
      <c r="E122" s="11">
        <f t="shared" si="8"/>
        <v>1835954032</v>
      </c>
      <c r="F122" s="21" t="str">
        <f t="shared" si="9"/>
        <v>6D6E6F70</v>
      </c>
    </row>
    <row r="123" spans="1:6" x14ac:dyDescent="0.3">
      <c r="A123" s="12">
        <v>119</v>
      </c>
      <c r="B123" s="13">
        <v>110</v>
      </c>
      <c r="C123" s="18" t="str">
        <f t="shared" si="10"/>
        <v>6E</v>
      </c>
      <c r="D123" s="13" t="str">
        <f t="shared" si="11"/>
        <v>01101110</v>
      </c>
      <c r="E123" s="13">
        <f t="shared" si="8"/>
        <v>1852797041</v>
      </c>
      <c r="F123" s="22" t="str">
        <f t="shared" si="9"/>
        <v>6E6F7071</v>
      </c>
    </row>
    <row r="124" spans="1:6" x14ac:dyDescent="0.3">
      <c r="A124" s="19">
        <v>120</v>
      </c>
      <c r="B124" s="20">
        <v>111</v>
      </c>
      <c r="C124" s="4" t="str">
        <f t="shared" si="10"/>
        <v>6F</v>
      </c>
      <c r="D124" s="20" t="str">
        <f t="shared" si="11"/>
        <v>01101111</v>
      </c>
      <c r="E124" s="20">
        <f t="shared" si="8"/>
        <v>1869640050</v>
      </c>
      <c r="F124" s="5" t="str">
        <f t="shared" si="9"/>
        <v>6F707172</v>
      </c>
    </row>
    <row r="125" spans="1:6" x14ac:dyDescent="0.3">
      <c r="A125" s="10">
        <v>121</v>
      </c>
      <c r="B125" s="11">
        <v>112</v>
      </c>
      <c r="C125" s="8" t="str">
        <f t="shared" si="10"/>
        <v>70</v>
      </c>
      <c r="D125" s="11" t="str">
        <f t="shared" si="11"/>
        <v>01110000</v>
      </c>
      <c r="E125" s="11">
        <f t="shared" si="8"/>
        <v>1886483059</v>
      </c>
      <c r="F125" s="21" t="str">
        <f t="shared" si="9"/>
        <v>70717273</v>
      </c>
    </row>
    <row r="126" spans="1:6" x14ac:dyDescent="0.3">
      <c r="A126" s="10">
        <v>122</v>
      </c>
      <c r="B126" s="11">
        <v>113</v>
      </c>
      <c r="C126" s="8" t="str">
        <f t="shared" si="10"/>
        <v>71</v>
      </c>
      <c r="D126" s="11" t="str">
        <f t="shared" si="11"/>
        <v>01110001</v>
      </c>
      <c r="E126" s="11">
        <f t="shared" si="8"/>
        <v>1903326068</v>
      </c>
      <c r="F126" s="21" t="str">
        <f t="shared" si="9"/>
        <v>71727374</v>
      </c>
    </row>
    <row r="127" spans="1:6" x14ac:dyDescent="0.3">
      <c r="A127" s="12">
        <v>123</v>
      </c>
      <c r="B127" s="13">
        <v>114</v>
      </c>
      <c r="C127" s="18" t="str">
        <f t="shared" si="10"/>
        <v>72</v>
      </c>
      <c r="D127" s="13" t="str">
        <f t="shared" si="11"/>
        <v>01110010</v>
      </c>
      <c r="E127" s="13">
        <f t="shared" si="8"/>
        <v>1920169077</v>
      </c>
      <c r="F127" s="22" t="str">
        <f t="shared" si="9"/>
        <v>72737475</v>
      </c>
    </row>
    <row r="128" spans="1:6" x14ac:dyDescent="0.3">
      <c r="A128" s="19">
        <v>124</v>
      </c>
      <c r="B128" s="20">
        <v>115</v>
      </c>
      <c r="C128" s="4" t="str">
        <f t="shared" si="10"/>
        <v>73</v>
      </c>
      <c r="D128" s="20" t="str">
        <f t="shared" si="11"/>
        <v>01110011</v>
      </c>
      <c r="E128" s="20">
        <f t="shared" si="8"/>
        <v>1937012086</v>
      </c>
      <c r="F128" s="5" t="str">
        <f t="shared" si="9"/>
        <v>73747576</v>
      </c>
    </row>
    <row r="129" spans="1:6" x14ac:dyDescent="0.3">
      <c r="A129" s="10">
        <v>125</v>
      </c>
      <c r="B129" s="11">
        <v>116</v>
      </c>
      <c r="C129" s="8" t="str">
        <f t="shared" si="10"/>
        <v>74</v>
      </c>
      <c r="D129" s="11" t="str">
        <f t="shared" si="11"/>
        <v>01110100</v>
      </c>
      <c r="E129" s="11">
        <f t="shared" si="8"/>
        <v>1953855095</v>
      </c>
      <c r="F129" s="21" t="str">
        <f t="shared" si="9"/>
        <v>74757677</v>
      </c>
    </row>
    <row r="130" spans="1:6" x14ac:dyDescent="0.3">
      <c r="A130" s="10">
        <v>126</v>
      </c>
      <c r="B130" s="11">
        <v>117</v>
      </c>
      <c r="C130" s="8" t="str">
        <f t="shared" si="10"/>
        <v>75</v>
      </c>
      <c r="D130" s="11" t="str">
        <f t="shared" si="11"/>
        <v>01110101</v>
      </c>
      <c r="E130" s="11">
        <f t="shared" si="8"/>
        <v>1970698104</v>
      </c>
      <c r="F130" s="21" t="str">
        <f t="shared" si="9"/>
        <v>75767778</v>
      </c>
    </row>
    <row r="131" spans="1:6" x14ac:dyDescent="0.3">
      <c r="A131" s="12">
        <v>127</v>
      </c>
      <c r="B131" s="13">
        <v>118</v>
      </c>
      <c r="C131" s="18" t="str">
        <f t="shared" si="10"/>
        <v>76</v>
      </c>
      <c r="D131" s="13" t="str">
        <f t="shared" si="11"/>
        <v>01110110</v>
      </c>
      <c r="E131" s="13">
        <f t="shared" si="8"/>
        <v>1987541113</v>
      </c>
      <c r="F131" s="22" t="str">
        <f t="shared" si="9"/>
        <v>76777879</v>
      </c>
    </row>
    <row r="132" spans="1:6" x14ac:dyDescent="0.3">
      <c r="A132" s="19">
        <v>128</v>
      </c>
      <c r="B132" s="20">
        <v>119</v>
      </c>
      <c r="C132" s="4" t="str">
        <f t="shared" si="10"/>
        <v>77</v>
      </c>
      <c r="D132" s="20" t="str">
        <f t="shared" si="11"/>
        <v>01110111</v>
      </c>
      <c r="E132" s="20">
        <f t="shared" si="8"/>
        <v>2004384122</v>
      </c>
      <c r="F132" s="5" t="str">
        <f t="shared" si="9"/>
        <v>7778797A</v>
      </c>
    </row>
    <row r="133" spans="1:6" x14ac:dyDescent="0.3">
      <c r="A133" s="10">
        <v>129</v>
      </c>
      <c r="B133" s="11">
        <v>120</v>
      </c>
      <c r="C133" s="8" t="str">
        <f t="shared" si="10"/>
        <v>78</v>
      </c>
      <c r="D133" s="11" t="str">
        <f t="shared" si="11"/>
        <v>01111000</v>
      </c>
      <c r="E133" s="11">
        <f t="shared" si="8"/>
        <v>2021227131</v>
      </c>
      <c r="F133" s="21" t="str">
        <f t="shared" si="9"/>
        <v>78797A7B</v>
      </c>
    </row>
    <row r="134" spans="1:6" x14ac:dyDescent="0.3">
      <c r="A134" s="10">
        <v>130</v>
      </c>
      <c r="B134" s="11">
        <v>121</v>
      </c>
      <c r="C134" s="8" t="str">
        <f t="shared" si="10"/>
        <v>79</v>
      </c>
      <c r="D134" s="11" t="str">
        <f t="shared" si="11"/>
        <v>01111001</v>
      </c>
      <c r="E134" s="11">
        <f t="shared" si="8"/>
        <v>2038070140</v>
      </c>
      <c r="F134" s="21" t="str">
        <f t="shared" si="9"/>
        <v>797A7B7C</v>
      </c>
    </row>
    <row r="135" spans="1:6" x14ac:dyDescent="0.3">
      <c r="A135" s="12">
        <v>131</v>
      </c>
      <c r="B135" s="13">
        <v>122</v>
      </c>
      <c r="C135" s="18" t="str">
        <f t="shared" si="10"/>
        <v>7A</v>
      </c>
      <c r="D135" s="13" t="str">
        <f t="shared" si="11"/>
        <v>01111010</v>
      </c>
      <c r="E135" s="13">
        <f t="shared" si="8"/>
        <v>2054913149</v>
      </c>
      <c r="F135" s="22" t="str">
        <f t="shared" si="9"/>
        <v>7A7B7C7D</v>
      </c>
    </row>
    <row r="136" spans="1:6" x14ac:dyDescent="0.3">
      <c r="A136" s="19">
        <v>132</v>
      </c>
      <c r="B136" s="20">
        <v>123</v>
      </c>
      <c r="C136" s="4" t="str">
        <f t="shared" si="10"/>
        <v>7B</v>
      </c>
      <c r="D136" s="20" t="str">
        <f t="shared" si="11"/>
        <v>01111011</v>
      </c>
      <c r="E136" s="20">
        <f t="shared" si="8"/>
        <v>2071756158</v>
      </c>
      <c r="F136" s="5" t="str">
        <f t="shared" si="9"/>
        <v>7B7C7D7E</v>
      </c>
    </row>
    <row r="137" spans="1:6" x14ac:dyDescent="0.3">
      <c r="A137" s="10">
        <v>133</v>
      </c>
      <c r="B137" s="11">
        <v>124</v>
      </c>
      <c r="C137" s="8" t="str">
        <f t="shared" si="10"/>
        <v>7C</v>
      </c>
      <c r="D137" s="11" t="str">
        <f t="shared" si="11"/>
        <v>01111100</v>
      </c>
      <c r="E137" s="11">
        <f t="shared" si="8"/>
        <v>2088599167</v>
      </c>
      <c r="F137" s="21" t="str">
        <f t="shared" si="9"/>
        <v>7C7D7E7F</v>
      </c>
    </row>
    <row r="138" spans="1:6" x14ac:dyDescent="0.3">
      <c r="A138" s="10">
        <v>134</v>
      </c>
      <c r="B138" s="11">
        <v>125</v>
      </c>
      <c r="C138" s="8" t="str">
        <f t="shared" si="10"/>
        <v>7D</v>
      </c>
      <c r="D138" s="11" t="str">
        <f t="shared" si="11"/>
        <v>01111101</v>
      </c>
      <c r="E138" s="11">
        <f t="shared" si="8"/>
        <v>2105442176</v>
      </c>
      <c r="F138" s="21" t="str">
        <f t="shared" si="9"/>
        <v>7D7E7F80</v>
      </c>
    </row>
    <row r="139" spans="1:6" x14ac:dyDescent="0.3">
      <c r="A139" s="12">
        <v>135</v>
      </c>
      <c r="B139" s="13">
        <v>126</v>
      </c>
      <c r="C139" s="18" t="str">
        <f t="shared" si="10"/>
        <v>7E</v>
      </c>
      <c r="D139" s="13" t="str">
        <f t="shared" si="11"/>
        <v>01111110</v>
      </c>
      <c r="E139" s="13">
        <f t="shared" si="8"/>
        <v>2122285185</v>
      </c>
      <c r="F139" s="22" t="str">
        <f t="shared" si="9"/>
        <v>7E7F8081</v>
      </c>
    </row>
    <row r="140" spans="1:6" x14ac:dyDescent="0.3">
      <c r="A140" s="19">
        <v>136</v>
      </c>
      <c r="B140" s="20">
        <v>127</v>
      </c>
      <c r="C140" s="4" t="str">
        <f t="shared" si="10"/>
        <v>7F</v>
      </c>
      <c r="D140" s="20" t="str">
        <f t="shared" si="11"/>
        <v>01111111</v>
      </c>
      <c r="E140" s="20">
        <f t="shared" si="8"/>
        <v>2139128194</v>
      </c>
      <c r="F140" s="5" t="str">
        <f t="shared" si="9"/>
        <v>7F808182</v>
      </c>
    </row>
    <row r="141" spans="1:6" x14ac:dyDescent="0.3">
      <c r="A141" s="10">
        <v>137</v>
      </c>
      <c r="B141" s="11">
        <v>128</v>
      </c>
      <c r="C141" s="8" t="str">
        <f t="shared" si="10"/>
        <v>80</v>
      </c>
      <c r="D141" s="11" t="str">
        <f t="shared" si="11"/>
        <v>10000000</v>
      </c>
      <c r="E141" s="11">
        <f t="shared" si="8"/>
        <v>2155971203</v>
      </c>
      <c r="F141" s="21" t="str">
        <f t="shared" si="9"/>
        <v>80818283</v>
      </c>
    </row>
    <row r="142" spans="1:6" x14ac:dyDescent="0.3">
      <c r="A142" s="10">
        <v>138</v>
      </c>
      <c r="B142" s="11">
        <v>129</v>
      </c>
      <c r="C142" s="8" t="str">
        <f t="shared" si="10"/>
        <v>81</v>
      </c>
      <c r="D142" s="11" t="str">
        <f t="shared" si="11"/>
        <v>10000001</v>
      </c>
      <c r="E142" s="11">
        <f t="shared" si="8"/>
        <v>2172814212</v>
      </c>
      <c r="F142" s="21" t="str">
        <f t="shared" si="9"/>
        <v>81828384</v>
      </c>
    </row>
    <row r="143" spans="1:6" x14ac:dyDescent="0.3">
      <c r="A143" s="12">
        <v>139</v>
      </c>
      <c r="B143" s="13">
        <v>130</v>
      </c>
      <c r="C143" s="18" t="str">
        <f t="shared" si="10"/>
        <v>82</v>
      </c>
      <c r="D143" s="13" t="str">
        <f t="shared" si="11"/>
        <v>10000010</v>
      </c>
      <c r="E143" s="13">
        <f t="shared" ref="E143:E204" si="12">B146+B145*2^8+B144*2^16+B143*2^24</f>
        <v>2189657221</v>
      </c>
      <c r="F143" s="22" t="str">
        <f t="shared" ref="F143:F204" si="13">DEC2HEX(E143,8)</f>
        <v>82838485</v>
      </c>
    </row>
    <row r="144" spans="1:6" x14ac:dyDescent="0.3">
      <c r="A144" s="19">
        <v>140</v>
      </c>
      <c r="B144" s="20">
        <v>131</v>
      </c>
      <c r="C144" s="4" t="str">
        <f t="shared" ref="C144:C204" si="14">DEC2HEX(B144,2)</f>
        <v>83</v>
      </c>
      <c r="D144" s="20" t="str">
        <f t="shared" ref="D144:D204" si="15">DEC2BIN(B144,8)</f>
        <v>10000011</v>
      </c>
      <c r="E144" s="20">
        <f t="shared" si="12"/>
        <v>2206500230</v>
      </c>
      <c r="F144" s="5" t="str">
        <f t="shared" si="13"/>
        <v>83848586</v>
      </c>
    </row>
    <row r="145" spans="1:6" x14ac:dyDescent="0.3">
      <c r="A145" s="10">
        <v>141</v>
      </c>
      <c r="B145" s="11">
        <v>132</v>
      </c>
      <c r="C145" s="8" t="str">
        <f t="shared" si="14"/>
        <v>84</v>
      </c>
      <c r="D145" s="11" t="str">
        <f t="shared" si="15"/>
        <v>10000100</v>
      </c>
      <c r="E145" s="11">
        <f t="shared" si="12"/>
        <v>2223343239</v>
      </c>
      <c r="F145" s="21" t="str">
        <f t="shared" si="13"/>
        <v>84858687</v>
      </c>
    </row>
    <row r="146" spans="1:6" x14ac:dyDescent="0.3">
      <c r="A146" s="10">
        <v>142</v>
      </c>
      <c r="B146" s="11">
        <v>133</v>
      </c>
      <c r="C146" s="8" t="str">
        <f t="shared" si="14"/>
        <v>85</v>
      </c>
      <c r="D146" s="11" t="str">
        <f t="shared" si="15"/>
        <v>10000101</v>
      </c>
      <c r="E146" s="11">
        <f t="shared" si="12"/>
        <v>2240186248</v>
      </c>
      <c r="F146" s="21" t="str">
        <f t="shared" si="13"/>
        <v>85868788</v>
      </c>
    </row>
    <row r="147" spans="1:6" x14ac:dyDescent="0.3">
      <c r="A147" s="12">
        <v>143</v>
      </c>
      <c r="B147" s="13">
        <v>134</v>
      </c>
      <c r="C147" s="18" t="str">
        <f t="shared" si="14"/>
        <v>86</v>
      </c>
      <c r="D147" s="13" t="str">
        <f t="shared" si="15"/>
        <v>10000110</v>
      </c>
      <c r="E147" s="13">
        <f t="shared" si="12"/>
        <v>2257029257</v>
      </c>
      <c r="F147" s="22" t="str">
        <f t="shared" si="13"/>
        <v>86878889</v>
      </c>
    </row>
    <row r="148" spans="1:6" x14ac:dyDescent="0.3">
      <c r="A148" s="19">
        <v>144</v>
      </c>
      <c r="B148" s="20">
        <v>135</v>
      </c>
      <c r="C148" s="4" t="str">
        <f t="shared" si="14"/>
        <v>87</v>
      </c>
      <c r="D148" s="20" t="str">
        <f t="shared" si="15"/>
        <v>10000111</v>
      </c>
      <c r="E148" s="20">
        <f t="shared" si="12"/>
        <v>2273872266</v>
      </c>
      <c r="F148" s="5" t="str">
        <f t="shared" si="13"/>
        <v>8788898A</v>
      </c>
    </row>
    <row r="149" spans="1:6" x14ac:dyDescent="0.3">
      <c r="A149" s="10">
        <v>145</v>
      </c>
      <c r="B149" s="11">
        <v>136</v>
      </c>
      <c r="C149" s="8" t="str">
        <f t="shared" si="14"/>
        <v>88</v>
      </c>
      <c r="D149" s="11" t="str">
        <f t="shared" si="15"/>
        <v>10001000</v>
      </c>
      <c r="E149" s="11">
        <f t="shared" si="12"/>
        <v>2290715275</v>
      </c>
      <c r="F149" s="21" t="str">
        <f t="shared" si="13"/>
        <v>88898A8B</v>
      </c>
    </row>
    <row r="150" spans="1:6" x14ac:dyDescent="0.3">
      <c r="A150" s="10">
        <v>146</v>
      </c>
      <c r="B150" s="11">
        <v>137</v>
      </c>
      <c r="C150" s="8" t="str">
        <f t="shared" si="14"/>
        <v>89</v>
      </c>
      <c r="D150" s="11" t="str">
        <f t="shared" si="15"/>
        <v>10001001</v>
      </c>
      <c r="E150" s="11">
        <f t="shared" si="12"/>
        <v>2307558284</v>
      </c>
      <c r="F150" s="21" t="str">
        <f t="shared" si="13"/>
        <v>898A8B8C</v>
      </c>
    </row>
    <row r="151" spans="1:6" x14ac:dyDescent="0.3">
      <c r="A151" s="12">
        <v>147</v>
      </c>
      <c r="B151" s="13">
        <v>138</v>
      </c>
      <c r="C151" s="18" t="str">
        <f t="shared" si="14"/>
        <v>8A</v>
      </c>
      <c r="D151" s="13" t="str">
        <f t="shared" si="15"/>
        <v>10001010</v>
      </c>
      <c r="E151" s="13">
        <f t="shared" si="12"/>
        <v>2324401293</v>
      </c>
      <c r="F151" s="22" t="str">
        <f t="shared" si="13"/>
        <v>8A8B8C8D</v>
      </c>
    </row>
    <row r="152" spans="1:6" x14ac:dyDescent="0.3">
      <c r="A152" s="19">
        <v>148</v>
      </c>
      <c r="B152" s="20">
        <v>139</v>
      </c>
      <c r="C152" s="4" t="str">
        <f t="shared" si="14"/>
        <v>8B</v>
      </c>
      <c r="D152" s="20" t="str">
        <f t="shared" si="15"/>
        <v>10001011</v>
      </c>
      <c r="E152" s="20">
        <f t="shared" si="12"/>
        <v>2341244302</v>
      </c>
      <c r="F152" s="5" t="str">
        <f t="shared" si="13"/>
        <v>8B8C8D8E</v>
      </c>
    </row>
    <row r="153" spans="1:6" x14ac:dyDescent="0.3">
      <c r="A153" s="10">
        <v>149</v>
      </c>
      <c r="B153" s="11">
        <v>140</v>
      </c>
      <c r="C153" s="8" t="str">
        <f t="shared" si="14"/>
        <v>8C</v>
      </c>
      <c r="D153" s="11" t="str">
        <f t="shared" si="15"/>
        <v>10001100</v>
      </c>
      <c r="E153" s="11">
        <f t="shared" si="12"/>
        <v>2358087311</v>
      </c>
      <c r="F153" s="21" t="str">
        <f t="shared" si="13"/>
        <v>8C8D8E8F</v>
      </c>
    </row>
    <row r="154" spans="1:6" x14ac:dyDescent="0.3">
      <c r="A154" s="10">
        <v>150</v>
      </c>
      <c r="B154" s="11">
        <v>141</v>
      </c>
      <c r="C154" s="8" t="str">
        <f t="shared" si="14"/>
        <v>8D</v>
      </c>
      <c r="D154" s="11" t="str">
        <f t="shared" si="15"/>
        <v>10001101</v>
      </c>
      <c r="E154" s="11">
        <f t="shared" si="12"/>
        <v>2374930320</v>
      </c>
      <c r="F154" s="21" t="str">
        <f t="shared" si="13"/>
        <v>8D8E8F90</v>
      </c>
    </row>
    <row r="155" spans="1:6" x14ac:dyDescent="0.3">
      <c r="A155" s="12">
        <v>151</v>
      </c>
      <c r="B155" s="13">
        <v>142</v>
      </c>
      <c r="C155" s="18" t="str">
        <f t="shared" si="14"/>
        <v>8E</v>
      </c>
      <c r="D155" s="13" t="str">
        <f t="shared" si="15"/>
        <v>10001110</v>
      </c>
      <c r="E155" s="13">
        <f t="shared" si="12"/>
        <v>2391773329</v>
      </c>
      <c r="F155" s="22" t="str">
        <f t="shared" si="13"/>
        <v>8E8F9091</v>
      </c>
    </row>
    <row r="156" spans="1:6" x14ac:dyDescent="0.3">
      <c r="A156" s="19">
        <v>152</v>
      </c>
      <c r="B156" s="20">
        <v>143</v>
      </c>
      <c r="C156" s="4" t="str">
        <f t="shared" si="14"/>
        <v>8F</v>
      </c>
      <c r="D156" s="20" t="str">
        <f t="shared" si="15"/>
        <v>10001111</v>
      </c>
      <c r="E156" s="20">
        <f t="shared" si="12"/>
        <v>2408616338</v>
      </c>
      <c r="F156" s="5" t="str">
        <f t="shared" si="13"/>
        <v>8F909192</v>
      </c>
    </row>
    <row r="157" spans="1:6" x14ac:dyDescent="0.3">
      <c r="A157" s="10">
        <v>153</v>
      </c>
      <c r="B157" s="11">
        <v>144</v>
      </c>
      <c r="C157" s="8" t="str">
        <f t="shared" si="14"/>
        <v>90</v>
      </c>
      <c r="D157" s="11" t="str">
        <f t="shared" si="15"/>
        <v>10010000</v>
      </c>
      <c r="E157" s="11">
        <f t="shared" si="12"/>
        <v>2425459347</v>
      </c>
      <c r="F157" s="21" t="str">
        <f t="shared" si="13"/>
        <v>90919293</v>
      </c>
    </row>
    <row r="158" spans="1:6" x14ac:dyDescent="0.3">
      <c r="A158" s="10">
        <v>154</v>
      </c>
      <c r="B158" s="11">
        <v>145</v>
      </c>
      <c r="C158" s="8" t="str">
        <f t="shared" si="14"/>
        <v>91</v>
      </c>
      <c r="D158" s="11" t="str">
        <f t="shared" si="15"/>
        <v>10010001</v>
      </c>
      <c r="E158" s="11">
        <f t="shared" si="12"/>
        <v>2442302356</v>
      </c>
      <c r="F158" s="21" t="str">
        <f t="shared" si="13"/>
        <v>91929394</v>
      </c>
    </row>
    <row r="159" spans="1:6" x14ac:dyDescent="0.3">
      <c r="A159" s="12">
        <v>155</v>
      </c>
      <c r="B159" s="13">
        <v>146</v>
      </c>
      <c r="C159" s="18" t="str">
        <f t="shared" si="14"/>
        <v>92</v>
      </c>
      <c r="D159" s="13" t="str">
        <f t="shared" si="15"/>
        <v>10010010</v>
      </c>
      <c r="E159" s="13">
        <f t="shared" si="12"/>
        <v>2459145365</v>
      </c>
      <c r="F159" s="22" t="str">
        <f t="shared" si="13"/>
        <v>92939495</v>
      </c>
    </row>
    <row r="160" spans="1:6" x14ac:dyDescent="0.3">
      <c r="A160" s="19">
        <v>156</v>
      </c>
      <c r="B160" s="20">
        <v>147</v>
      </c>
      <c r="C160" s="4" t="str">
        <f t="shared" si="14"/>
        <v>93</v>
      </c>
      <c r="D160" s="20" t="str">
        <f t="shared" si="15"/>
        <v>10010011</v>
      </c>
      <c r="E160" s="20">
        <f t="shared" si="12"/>
        <v>2475988374</v>
      </c>
      <c r="F160" s="5" t="str">
        <f t="shared" si="13"/>
        <v>93949596</v>
      </c>
    </row>
    <row r="161" spans="1:6" x14ac:dyDescent="0.3">
      <c r="A161" s="10">
        <v>157</v>
      </c>
      <c r="B161" s="11">
        <v>148</v>
      </c>
      <c r="C161" s="8" t="str">
        <f t="shared" si="14"/>
        <v>94</v>
      </c>
      <c r="D161" s="11" t="str">
        <f t="shared" si="15"/>
        <v>10010100</v>
      </c>
      <c r="E161" s="11">
        <f t="shared" si="12"/>
        <v>2492831383</v>
      </c>
      <c r="F161" s="21" t="str">
        <f t="shared" si="13"/>
        <v>94959697</v>
      </c>
    </row>
    <row r="162" spans="1:6" x14ac:dyDescent="0.3">
      <c r="A162" s="10">
        <v>158</v>
      </c>
      <c r="B162" s="11">
        <v>149</v>
      </c>
      <c r="C162" s="8" t="str">
        <f t="shared" si="14"/>
        <v>95</v>
      </c>
      <c r="D162" s="11" t="str">
        <f t="shared" si="15"/>
        <v>10010101</v>
      </c>
      <c r="E162" s="11">
        <f t="shared" si="12"/>
        <v>2509674392</v>
      </c>
      <c r="F162" s="21" t="str">
        <f t="shared" si="13"/>
        <v>95969798</v>
      </c>
    </row>
    <row r="163" spans="1:6" x14ac:dyDescent="0.3">
      <c r="A163" s="12">
        <v>159</v>
      </c>
      <c r="B163" s="13">
        <v>150</v>
      </c>
      <c r="C163" s="18" t="str">
        <f t="shared" si="14"/>
        <v>96</v>
      </c>
      <c r="D163" s="13" t="str">
        <f t="shared" si="15"/>
        <v>10010110</v>
      </c>
      <c r="E163" s="13">
        <f t="shared" si="12"/>
        <v>2526517401</v>
      </c>
      <c r="F163" s="22" t="str">
        <f t="shared" si="13"/>
        <v>96979899</v>
      </c>
    </row>
    <row r="164" spans="1:6" x14ac:dyDescent="0.3">
      <c r="A164" s="19">
        <v>160</v>
      </c>
      <c r="B164" s="20">
        <v>151</v>
      </c>
      <c r="C164" s="4" t="str">
        <f t="shared" si="14"/>
        <v>97</v>
      </c>
      <c r="D164" s="20" t="str">
        <f t="shared" si="15"/>
        <v>10010111</v>
      </c>
      <c r="E164" s="20">
        <f t="shared" si="12"/>
        <v>2543360410</v>
      </c>
      <c r="F164" s="5" t="str">
        <f t="shared" si="13"/>
        <v>9798999A</v>
      </c>
    </row>
    <row r="165" spans="1:6" x14ac:dyDescent="0.3">
      <c r="A165" s="10">
        <v>161</v>
      </c>
      <c r="B165" s="11">
        <v>152</v>
      </c>
      <c r="C165" s="8" t="str">
        <f t="shared" si="14"/>
        <v>98</v>
      </c>
      <c r="D165" s="11" t="str">
        <f t="shared" si="15"/>
        <v>10011000</v>
      </c>
      <c r="E165" s="11">
        <f t="shared" si="12"/>
        <v>2560203419</v>
      </c>
      <c r="F165" s="21" t="str">
        <f t="shared" si="13"/>
        <v>98999A9B</v>
      </c>
    </row>
    <row r="166" spans="1:6" x14ac:dyDescent="0.3">
      <c r="A166" s="10">
        <v>162</v>
      </c>
      <c r="B166" s="11">
        <v>153</v>
      </c>
      <c r="C166" s="8" t="str">
        <f t="shared" si="14"/>
        <v>99</v>
      </c>
      <c r="D166" s="11" t="str">
        <f t="shared" si="15"/>
        <v>10011001</v>
      </c>
      <c r="E166" s="11">
        <f t="shared" si="12"/>
        <v>2577046428</v>
      </c>
      <c r="F166" s="21" t="str">
        <f t="shared" si="13"/>
        <v>999A9B9C</v>
      </c>
    </row>
    <row r="167" spans="1:6" x14ac:dyDescent="0.3">
      <c r="A167" s="12">
        <v>163</v>
      </c>
      <c r="B167" s="13">
        <v>154</v>
      </c>
      <c r="C167" s="18" t="str">
        <f t="shared" si="14"/>
        <v>9A</v>
      </c>
      <c r="D167" s="13" t="str">
        <f t="shared" si="15"/>
        <v>10011010</v>
      </c>
      <c r="E167" s="13">
        <f t="shared" si="12"/>
        <v>2593889437</v>
      </c>
      <c r="F167" s="22" t="str">
        <f t="shared" si="13"/>
        <v>9A9B9C9D</v>
      </c>
    </row>
    <row r="168" spans="1:6" x14ac:dyDescent="0.3">
      <c r="A168" s="19">
        <v>164</v>
      </c>
      <c r="B168" s="20">
        <v>155</v>
      </c>
      <c r="C168" s="4" t="str">
        <f t="shared" si="14"/>
        <v>9B</v>
      </c>
      <c r="D168" s="20" t="str">
        <f t="shared" si="15"/>
        <v>10011011</v>
      </c>
      <c r="E168" s="20">
        <f t="shared" si="12"/>
        <v>2610732446</v>
      </c>
      <c r="F168" s="5" t="str">
        <f t="shared" si="13"/>
        <v>9B9C9D9E</v>
      </c>
    </row>
    <row r="169" spans="1:6" x14ac:dyDescent="0.3">
      <c r="A169" s="10">
        <v>165</v>
      </c>
      <c r="B169" s="11">
        <v>156</v>
      </c>
      <c r="C169" s="8" t="str">
        <f t="shared" si="14"/>
        <v>9C</v>
      </c>
      <c r="D169" s="11" t="str">
        <f t="shared" si="15"/>
        <v>10011100</v>
      </c>
      <c r="E169" s="11">
        <f t="shared" si="12"/>
        <v>2627575455</v>
      </c>
      <c r="F169" s="21" t="str">
        <f t="shared" si="13"/>
        <v>9C9D9E9F</v>
      </c>
    </row>
    <row r="170" spans="1:6" x14ac:dyDescent="0.3">
      <c r="A170" s="10">
        <v>166</v>
      </c>
      <c r="B170" s="11">
        <v>157</v>
      </c>
      <c r="C170" s="8" t="str">
        <f t="shared" si="14"/>
        <v>9D</v>
      </c>
      <c r="D170" s="11" t="str">
        <f t="shared" si="15"/>
        <v>10011101</v>
      </c>
      <c r="E170" s="11">
        <f t="shared" si="12"/>
        <v>2644418464</v>
      </c>
      <c r="F170" s="21" t="str">
        <f t="shared" si="13"/>
        <v>9D9E9FA0</v>
      </c>
    </row>
    <row r="171" spans="1:6" x14ac:dyDescent="0.3">
      <c r="A171" s="12">
        <v>167</v>
      </c>
      <c r="B171" s="13">
        <v>158</v>
      </c>
      <c r="C171" s="18" t="str">
        <f t="shared" si="14"/>
        <v>9E</v>
      </c>
      <c r="D171" s="13" t="str">
        <f t="shared" si="15"/>
        <v>10011110</v>
      </c>
      <c r="E171" s="13">
        <f t="shared" si="12"/>
        <v>2661261473</v>
      </c>
      <c r="F171" s="22" t="str">
        <f t="shared" si="13"/>
        <v>9E9FA0A1</v>
      </c>
    </row>
    <row r="172" spans="1:6" x14ac:dyDescent="0.3">
      <c r="A172" s="19">
        <v>168</v>
      </c>
      <c r="B172" s="20">
        <v>159</v>
      </c>
      <c r="C172" s="4" t="str">
        <f t="shared" si="14"/>
        <v>9F</v>
      </c>
      <c r="D172" s="20" t="str">
        <f t="shared" si="15"/>
        <v>10011111</v>
      </c>
      <c r="E172" s="20">
        <f t="shared" si="12"/>
        <v>2678104482</v>
      </c>
      <c r="F172" s="5" t="str">
        <f t="shared" si="13"/>
        <v>9FA0A1A2</v>
      </c>
    </row>
    <row r="173" spans="1:6" x14ac:dyDescent="0.3">
      <c r="A173" s="10">
        <v>169</v>
      </c>
      <c r="B173" s="11">
        <v>160</v>
      </c>
      <c r="C173" s="8" t="str">
        <f t="shared" si="14"/>
        <v>A0</v>
      </c>
      <c r="D173" s="11" t="str">
        <f t="shared" si="15"/>
        <v>10100000</v>
      </c>
      <c r="E173" s="11">
        <f t="shared" si="12"/>
        <v>2694947491</v>
      </c>
      <c r="F173" s="21" t="str">
        <f t="shared" si="13"/>
        <v>A0A1A2A3</v>
      </c>
    </row>
    <row r="174" spans="1:6" x14ac:dyDescent="0.3">
      <c r="A174" s="10">
        <v>170</v>
      </c>
      <c r="B174" s="11">
        <v>161</v>
      </c>
      <c r="C174" s="8" t="str">
        <f t="shared" si="14"/>
        <v>A1</v>
      </c>
      <c r="D174" s="11" t="str">
        <f t="shared" si="15"/>
        <v>10100001</v>
      </c>
      <c r="E174" s="11">
        <f t="shared" si="12"/>
        <v>2711790500</v>
      </c>
      <c r="F174" s="21" t="str">
        <f t="shared" si="13"/>
        <v>A1A2A3A4</v>
      </c>
    </row>
    <row r="175" spans="1:6" x14ac:dyDescent="0.3">
      <c r="A175" s="12">
        <v>171</v>
      </c>
      <c r="B175" s="13">
        <v>162</v>
      </c>
      <c r="C175" s="18" t="str">
        <f t="shared" si="14"/>
        <v>A2</v>
      </c>
      <c r="D175" s="13" t="str">
        <f t="shared" si="15"/>
        <v>10100010</v>
      </c>
      <c r="E175" s="13">
        <f t="shared" si="12"/>
        <v>2728633509</v>
      </c>
      <c r="F175" s="22" t="str">
        <f t="shared" si="13"/>
        <v>A2A3A4A5</v>
      </c>
    </row>
    <row r="176" spans="1:6" x14ac:dyDescent="0.3">
      <c r="A176" s="19">
        <v>172</v>
      </c>
      <c r="B176" s="20">
        <v>163</v>
      </c>
      <c r="C176" s="4" t="str">
        <f t="shared" si="14"/>
        <v>A3</v>
      </c>
      <c r="D176" s="20" t="str">
        <f t="shared" si="15"/>
        <v>10100011</v>
      </c>
      <c r="E176" s="20">
        <f t="shared" si="12"/>
        <v>2745476518</v>
      </c>
      <c r="F176" s="5" t="str">
        <f t="shared" si="13"/>
        <v>A3A4A5A6</v>
      </c>
    </row>
    <row r="177" spans="1:6" x14ac:dyDescent="0.3">
      <c r="A177" s="10">
        <v>173</v>
      </c>
      <c r="B177" s="11">
        <v>164</v>
      </c>
      <c r="C177" s="8" t="str">
        <f t="shared" si="14"/>
        <v>A4</v>
      </c>
      <c r="D177" s="11" t="str">
        <f t="shared" si="15"/>
        <v>10100100</v>
      </c>
      <c r="E177" s="11">
        <f t="shared" si="12"/>
        <v>2762319527</v>
      </c>
      <c r="F177" s="21" t="str">
        <f t="shared" si="13"/>
        <v>A4A5A6A7</v>
      </c>
    </row>
    <row r="178" spans="1:6" x14ac:dyDescent="0.3">
      <c r="A178" s="10">
        <v>174</v>
      </c>
      <c r="B178" s="11">
        <v>165</v>
      </c>
      <c r="C178" s="8" t="str">
        <f t="shared" si="14"/>
        <v>A5</v>
      </c>
      <c r="D178" s="11" t="str">
        <f t="shared" si="15"/>
        <v>10100101</v>
      </c>
      <c r="E178" s="11">
        <f t="shared" si="12"/>
        <v>2779162536</v>
      </c>
      <c r="F178" s="21" t="str">
        <f t="shared" si="13"/>
        <v>A5A6A7A8</v>
      </c>
    </row>
    <row r="179" spans="1:6" x14ac:dyDescent="0.3">
      <c r="A179" s="12">
        <v>175</v>
      </c>
      <c r="B179" s="13">
        <v>166</v>
      </c>
      <c r="C179" s="18" t="str">
        <f t="shared" si="14"/>
        <v>A6</v>
      </c>
      <c r="D179" s="13" t="str">
        <f t="shared" si="15"/>
        <v>10100110</v>
      </c>
      <c r="E179" s="13">
        <f t="shared" si="12"/>
        <v>2796005545</v>
      </c>
      <c r="F179" s="22" t="str">
        <f t="shared" si="13"/>
        <v>A6A7A8A9</v>
      </c>
    </row>
    <row r="180" spans="1:6" x14ac:dyDescent="0.3">
      <c r="A180" s="19">
        <v>176</v>
      </c>
      <c r="B180" s="20">
        <v>167</v>
      </c>
      <c r="C180" s="4" t="str">
        <f t="shared" si="14"/>
        <v>A7</v>
      </c>
      <c r="D180" s="20" t="str">
        <f t="shared" si="15"/>
        <v>10100111</v>
      </c>
      <c r="E180" s="20">
        <f t="shared" si="12"/>
        <v>2812848554</v>
      </c>
      <c r="F180" s="5" t="str">
        <f t="shared" si="13"/>
        <v>A7A8A9AA</v>
      </c>
    </row>
    <row r="181" spans="1:6" x14ac:dyDescent="0.3">
      <c r="A181" s="10">
        <v>177</v>
      </c>
      <c r="B181" s="11">
        <v>168</v>
      </c>
      <c r="C181" s="8" t="str">
        <f t="shared" si="14"/>
        <v>A8</v>
      </c>
      <c r="D181" s="11" t="str">
        <f t="shared" si="15"/>
        <v>10101000</v>
      </c>
      <c r="E181" s="11">
        <f t="shared" si="12"/>
        <v>2829691563</v>
      </c>
      <c r="F181" s="21" t="str">
        <f t="shared" si="13"/>
        <v>A8A9AAAB</v>
      </c>
    </row>
    <row r="182" spans="1:6" x14ac:dyDescent="0.3">
      <c r="A182" s="10">
        <v>178</v>
      </c>
      <c r="B182" s="11">
        <v>169</v>
      </c>
      <c r="C182" s="8" t="str">
        <f t="shared" si="14"/>
        <v>A9</v>
      </c>
      <c r="D182" s="11" t="str">
        <f t="shared" si="15"/>
        <v>10101001</v>
      </c>
      <c r="E182" s="11">
        <f t="shared" si="12"/>
        <v>2846534572</v>
      </c>
      <c r="F182" s="21" t="str">
        <f t="shared" si="13"/>
        <v>A9AAABAC</v>
      </c>
    </row>
    <row r="183" spans="1:6" x14ac:dyDescent="0.3">
      <c r="A183" s="12">
        <v>179</v>
      </c>
      <c r="B183" s="13">
        <v>170</v>
      </c>
      <c r="C183" s="18" t="str">
        <f t="shared" si="14"/>
        <v>AA</v>
      </c>
      <c r="D183" s="13" t="str">
        <f t="shared" si="15"/>
        <v>10101010</v>
      </c>
      <c r="E183" s="13">
        <f t="shared" si="12"/>
        <v>2863377581</v>
      </c>
      <c r="F183" s="22" t="str">
        <f t="shared" si="13"/>
        <v>AAABACAD</v>
      </c>
    </row>
    <row r="184" spans="1:6" x14ac:dyDescent="0.3">
      <c r="A184" s="19">
        <v>180</v>
      </c>
      <c r="B184" s="20">
        <v>171</v>
      </c>
      <c r="C184" s="4" t="str">
        <f t="shared" si="14"/>
        <v>AB</v>
      </c>
      <c r="D184" s="20" t="str">
        <f t="shared" si="15"/>
        <v>10101011</v>
      </c>
      <c r="E184" s="20">
        <f t="shared" si="12"/>
        <v>2880220590</v>
      </c>
      <c r="F184" s="5" t="str">
        <f t="shared" si="13"/>
        <v>ABACADAE</v>
      </c>
    </row>
    <row r="185" spans="1:6" x14ac:dyDescent="0.3">
      <c r="A185" s="10">
        <v>181</v>
      </c>
      <c r="B185" s="11">
        <v>172</v>
      </c>
      <c r="C185" s="8" t="str">
        <f t="shared" si="14"/>
        <v>AC</v>
      </c>
      <c r="D185" s="11" t="str">
        <f t="shared" si="15"/>
        <v>10101100</v>
      </c>
      <c r="E185" s="11">
        <f t="shared" si="12"/>
        <v>2897063599</v>
      </c>
      <c r="F185" s="21" t="str">
        <f t="shared" si="13"/>
        <v>ACADAEAF</v>
      </c>
    </row>
    <row r="186" spans="1:6" x14ac:dyDescent="0.3">
      <c r="A186" s="10">
        <v>182</v>
      </c>
      <c r="B186" s="11">
        <v>173</v>
      </c>
      <c r="C186" s="8" t="str">
        <f t="shared" si="14"/>
        <v>AD</v>
      </c>
      <c r="D186" s="11" t="str">
        <f t="shared" si="15"/>
        <v>10101101</v>
      </c>
      <c r="E186" s="11">
        <f t="shared" si="12"/>
        <v>2913906608</v>
      </c>
      <c r="F186" s="21" t="str">
        <f t="shared" si="13"/>
        <v>ADAEAFB0</v>
      </c>
    </row>
    <row r="187" spans="1:6" x14ac:dyDescent="0.3">
      <c r="A187" s="12">
        <v>183</v>
      </c>
      <c r="B187" s="13">
        <v>174</v>
      </c>
      <c r="C187" s="18" t="str">
        <f t="shared" si="14"/>
        <v>AE</v>
      </c>
      <c r="D187" s="13" t="str">
        <f t="shared" si="15"/>
        <v>10101110</v>
      </c>
      <c r="E187" s="13">
        <f t="shared" si="12"/>
        <v>2930749617</v>
      </c>
      <c r="F187" s="22" t="str">
        <f t="shared" si="13"/>
        <v>AEAFB0B1</v>
      </c>
    </row>
    <row r="188" spans="1:6" x14ac:dyDescent="0.3">
      <c r="A188" s="19">
        <v>184</v>
      </c>
      <c r="B188" s="20">
        <v>175</v>
      </c>
      <c r="C188" s="4" t="str">
        <f t="shared" si="14"/>
        <v>AF</v>
      </c>
      <c r="D188" s="20" t="str">
        <f t="shared" si="15"/>
        <v>10101111</v>
      </c>
      <c r="E188" s="20">
        <f t="shared" si="12"/>
        <v>2947592626</v>
      </c>
      <c r="F188" s="5" t="str">
        <f t="shared" si="13"/>
        <v>AFB0B1B2</v>
      </c>
    </row>
    <row r="189" spans="1:6" x14ac:dyDescent="0.3">
      <c r="A189" s="10">
        <v>185</v>
      </c>
      <c r="B189" s="11">
        <v>176</v>
      </c>
      <c r="C189" s="8" t="str">
        <f t="shared" si="14"/>
        <v>B0</v>
      </c>
      <c r="D189" s="11" t="str">
        <f t="shared" si="15"/>
        <v>10110000</v>
      </c>
      <c r="E189" s="11">
        <f t="shared" si="12"/>
        <v>2964435635</v>
      </c>
      <c r="F189" s="21" t="str">
        <f t="shared" si="13"/>
        <v>B0B1B2B3</v>
      </c>
    </row>
    <row r="190" spans="1:6" x14ac:dyDescent="0.3">
      <c r="A190" s="10">
        <v>186</v>
      </c>
      <c r="B190" s="11">
        <v>177</v>
      </c>
      <c r="C190" s="8" t="str">
        <f t="shared" si="14"/>
        <v>B1</v>
      </c>
      <c r="D190" s="11" t="str">
        <f t="shared" si="15"/>
        <v>10110001</v>
      </c>
      <c r="E190" s="11">
        <f t="shared" si="12"/>
        <v>2981278644</v>
      </c>
      <c r="F190" s="21" t="str">
        <f t="shared" si="13"/>
        <v>B1B2B3B4</v>
      </c>
    </row>
    <row r="191" spans="1:6" x14ac:dyDescent="0.3">
      <c r="A191" s="12">
        <v>187</v>
      </c>
      <c r="B191" s="13">
        <v>178</v>
      </c>
      <c r="C191" s="18" t="str">
        <f t="shared" si="14"/>
        <v>B2</v>
      </c>
      <c r="D191" s="13" t="str">
        <f t="shared" si="15"/>
        <v>10110010</v>
      </c>
      <c r="E191" s="13">
        <f t="shared" si="12"/>
        <v>2998121653</v>
      </c>
      <c r="F191" s="22" t="str">
        <f t="shared" si="13"/>
        <v>B2B3B4B5</v>
      </c>
    </row>
    <row r="192" spans="1:6" x14ac:dyDescent="0.3">
      <c r="A192" s="19">
        <v>188</v>
      </c>
      <c r="B192" s="20">
        <v>179</v>
      </c>
      <c r="C192" s="4" t="str">
        <f t="shared" si="14"/>
        <v>B3</v>
      </c>
      <c r="D192" s="20" t="str">
        <f t="shared" si="15"/>
        <v>10110011</v>
      </c>
      <c r="E192" s="20">
        <f t="shared" si="12"/>
        <v>3014964662</v>
      </c>
      <c r="F192" s="5" t="str">
        <f t="shared" si="13"/>
        <v>B3B4B5B6</v>
      </c>
    </row>
    <row r="193" spans="1:6" x14ac:dyDescent="0.3">
      <c r="A193" s="10">
        <v>189</v>
      </c>
      <c r="B193" s="11">
        <v>180</v>
      </c>
      <c r="C193" s="8" t="str">
        <f t="shared" si="14"/>
        <v>B4</v>
      </c>
      <c r="D193" s="11" t="str">
        <f t="shared" si="15"/>
        <v>10110100</v>
      </c>
      <c r="E193" s="11">
        <f t="shared" si="12"/>
        <v>3031807671</v>
      </c>
      <c r="F193" s="21" t="str">
        <f t="shared" si="13"/>
        <v>B4B5B6B7</v>
      </c>
    </row>
    <row r="194" spans="1:6" x14ac:dyDescent="0.3">
      <c r="A194" s="10">
        <v>190</v>
      </c>
      <c r="B194" s="11">
        <v>181</v>
      </c>
      <c r="C194" s="8" t="str">
        <f t="shared" si="14"/>
        <v>B5</v>
      </c>
      <c r="D194" s="11" t="str">
        <f t="shared" si="15"/>
        <v>10110101</v>
      </c>
      <c r="E194" s="11">
        <f t="shared" si="12"/>
        <v>3048650680</v>
      </c>
      <c r="F194" s="21" t="str">
        <f t="shared" si="13"/>
        <v>B5B6B7B8</v>
      </c>
    </row>
    <row r="195" spans="1:6" x14ac:dyDescent="0.3">
      <c r="A195" s="12">
        <v>191</v>
      </c>
      <c r="B195" s="13">
        <v>182</v>
      </c>
      <c r="C195" s="18" t="str">
        <f t="shared" si="14"/>
        <v>B6</v>
      </c>
      <c r="D195" s="13" t="str">
        <f t="shared" si="15"/>
        <v>10110110</v>
      </c>
      <c r="E195" s="13">
        <f t="shared" si="12"/>
        <v>3065493689</v>
      </c>
      <c r="F195" s="22" t="str">
        <f t="shared" si="13"/>
        <v>B6B7B8B9</v>
      </c>
    </row>
    <row r="196" spans="1:6" x14ac:dyDescent="0.3">
      <c r="A196" s="19">
        <v>192</v>
      </c>
      <c r="B196" s="20">
        <v>183</v>
      </c>
      <c r="C196" s="4" t="str">
        <f t="shared" si="14"/>
        <v>B7</v>
      </c>
      <c r="D196" s="20" t="str">
        <f t="shared" si="15"/>
        <v>10110111</v>
      </c>
      <c r="E196" s="20">
        <f t="shared" si="12"/>
        <v>3082336698</v>
      </c>
      <c r="F196" s="5" t="str">
        <f t="shared" si="13"/>
        <v>B7B8B9BA</v>
      </c>
    </row>
    <row r="197" spans="1:6" x14ac:dyDescent="0.3">
      <c r="A197" s="10">
        <v>193</v>
      </c>
      <c r="B197" s="11">
        <v>184</v>
      </c>
      <c r="C197" s="8" t="str">
        <f t="shared" si="14"/>
        <v>B8</v>
      </c>
      <c r="D197" s="11" t="str">
        <f t="shared" si="15"/>
        <v>10111000</v>
      </c>
      <c r="E197" s="11">
        <f t="shared" si="12"/>
        <v>3099179707</v>
      </c>
      <c r="F197" s="21" t="str">
        <f t="shared" si="13"/>
        <v>B8B9BABB</v>
      </c>
    </row>
    <row r="198" spans="1:6" x14ac:dyDescent="0.3">
      <c r="A198" s="10">
        <v>194</v>
      </c>
      <c r="B198" s="11">
        <v>185</v>
      </c>
      <c r="C198" s="8" t="str">
        <f t="shared" si="14"/>
        <v>B9</v>
      </c>
      <c r="D198" s="11" t="str">
        <f t="shared" si="15"/>
        <v>10111001</v>
      </c>
      <c r="E198" s="11">
        <f t="shared" si="12"/>
        <v>3116022716</v>
      </c>
      <c r="F198" s="21" t="str">
        <f t="shared" si="13"/>
        <v>B9BABBBC</v>
      </c>
    </row>
    <row r="199" spans="1:6" x14ac:dyDescent="0.3">
      <c r="A199" s="12">
        <v>195</v>
      </c>
      <c r="B199" s="13">
        <v>186</v>
      </c>
      <c r="C199" s="18" t="str">
        <f t="shared" si="14"/>
        <v>BA</v>
      </c>
      <c r="D199" s="13" t="str">
        <f t="shared" si="15"/>
        <v>10111010</v>
      </c>
      <c r="E199" s="13">
        <f t="shared" si="12"/>
        <v>3132865725</v>
      </c>
      <c r="F199" s="22" t="str">
        <f t="shared" si="13"/>
        <v>BABBBCBD</v>
      </c>
    </row>
    <row r="200" spans="1:6" x14ac:dyDescent="0.3">
      <c r="A200" s="19">
        <v>196</v>
      </c>
      <c r="B200" s="20">
        <v>187</v>
      </c>
      <c r="C200" s="4" t="str">
        <f t="shared" si="14"/>
        <v>BB</v>
      </c>
      <c r="D200" s="20" t="str">
        <f t="shared" si="15"/>
        <v>10111011</v>
      </c>
      <c r="E200" s="20">
        <f t="shared" si="12"/>
        <v>3149708734</v>
      </c>
      <c r="F200" s="5" t="str">
        <f t="shared" si="13"/>
        <v>BBBCBDBE</v>
      </c>
    </row>
    <row r="201" spans="1:6" x14ac:dyDescent="0.3">
      <c r="A201" s="10">
        <v>197</v>
      </c>
      <c r="B201" s="11">
        <v>188</v>
      </c>
      <c r="C201" s="8" t="str">
        <f t="shared" si="14"/>
        <v>BC</v>
      </c>
      <c r="D201" s="11" t="str">
        <f t="shared" si="15"/>
        <v>10111100</v>
      </c>
      <c r="E201" s="11">
        <f t="shared" si="12"/>
        <v>3166551743</v>
      </c>
      <c r="F201" s="21" t="str">
        <f t="shared" si="13"/>
        <v>BCBDBEBF</v>
      </c>
    </row>
    <row r="202" spans="1:6" x14ac:dyDescent="0.3">
      <c r="A202" s="10">
        <v>198</v>
      </c>
      <c r="B202" s="11">
        <v>189</v>
      </c>
      <c r="C202" s="8" t="str">
        <f t="shared" si="14"/>
        <v>BD</v>
      </c>
      <c r="D202" s="11" t="str">
        <f t="shared" si="15"/>
        <v>10111101</v>
      </c>
      <c r="E202" s="11">
        <f t="shared" si="12"/>
        <v>3183394752</v>
      </c>
      <c r="F202" s="21" t="str">
        <f t="shared" si="13"/>
        <v>BDBEBFC0</v>
      </c>
    </row>
    <row r="203" spans="1:6" x14ac:dyDescent="0.3">
      <c r="A203" s="12">
        <v>199</v>
      </c>
      <c r="B203" s="13">
        <v>190</v>
      </c>
      <c r="C203" s="18" t="str">
        <f t="shared" si="14"/>
        <v>BE</v>
      </c>
      <c r="D203" s="13" t="str">
        <f t="shared" si="15"/>
        <v>10111110</v>
      </c>
      <c r="E203" s="13">
        <f t="shared" si="12"/>
        <v>3200237761</v>
      </c>
      <c r="F203" s="22" t="str">
        <f t="shared" si="13"/>
        <v>BEBFC0C1</v>
      </c>
    </row>
    <row r="204" spans="1:6" x14ac:dyDescent="0.3">
      <c r="A204" s="19">
        <v>200</v>
      </c>
      <c r="B204" s="20">
        <v>191</v>
      </c>
      <c r="C204" s="4" t="str">
        <f t="shared" si="14"/>
        <v>BF</v>
      </c>
      <c r="D204" s="20" t="str">
        <f t="shared" si="15"/>
        <v>10111111</v>
      </c>
      <c r="E204" s="20">
        <f t="shared" si="12"/>
        <v>3217080770</v>
      </c>
      <c r="F204" s="5" t="str">
        <f t="shared" si="13"/>
        <v>BFC0C1C2</v>
      </c>
    </row>
    <row r="205" spans="1:6" x14ac:dyDescent="0.3">
      <c r="A205" s="10">
        <v>201</v>
      </c>
      <c r="B205" s="11">
        <v>192</v>
      </c>
      <c r="C205" s="8" t="str">
        <f t="shared" ref="C205:C207" si="16">DEC2HEX(B205,2)</f>
        <v>C0</v>
      </c>
      <c r="D205" s="11" t="str">
        <f t="shared" ref="D205:D207" si="17">DEC2BIN(B205,8)</f>
        <v>11000000</v>
      </c>
      <c r="E205" s="11">
        <f t="shared" ref="E205:E207" si="18">B208+B207*2^8+B206*2^16+B205*2^24</f>
        <v>3233923584</v>
      </c>
      <c r="F205" s="21" t="str">
        <f t="shared" ref="F205:F207" si="19">DEC2HEX(E205,8)</f>
        <v>C0C1C200</v>
      </c>
    </row>
    <row r="206" spans="1:6" x14ac:dyDescent="0.3">
      <c r="A206" s="10">
        <v>202</v>
      </c>
      <c r="B206" s="11">
        <v>193</v>
      </c>
      <c r="C206" s="8" t="str">
        <f t="shared" si="16"/>
        <v>C1</v>
      </c>
      <c r="D206" s="11" t="str">
        <f t="shared" si="17"/>
        <v>11000001</v>
      </c>
      <c r="E206" s="11">
        <f t="shared" si="18"/>
        <v>3250716672</v>
      </c>
      <c r="F206" s="21" t="str">
        <f t="shared" si="19"/>
        <v>C1C20000</v>
      </c>
    </row>
    <row r="207" spans="1:6" x14ac:dyDescent="0.3">
      <c r="A207" s="12">
        <v>203</v>
      </c>
      <c r="B207" s="13">
        <v>194</v>
      </c>
      <c r="C207" s="18" t="str">
        <f t="shared" si="16"/>
        <v>C2</v>
      </c>
      <c r="D207" s="13" t="str">
        <f t="shared" si="17"/>
        <v>11000010</v>
      </c>
      <c r="E207" s="13">
        <f t="shared" si="18"/>
        <v>3254779904</v>
      </c>
      <c r="F207" s="22" t="str">
        <f t="shared" si="19"/>
        <v>C2000000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111</vt:i4>
      </vt:variant>
    </vt:vector>
  </HeadingPairs>
  <TitlesOfParts>
    <vt:vector size="113" baseType="lpstr">
      <vt:lpstr>CPU</vt:lpstr>
      <vt:lpstr>Memory</vt:lpstr>
      <vt:lpstr>ADD_Result</vt:lpstr>
      <vt:lpstr>Ain</vt:lpstr>
      <vt:lpstr>ALU_ADD</vt:lpstr>
      <vt:lpstr>ALU_AND</vt:lpstr>
      <vt:lpstr>ALU_CB</vt:lpstr>
      <vt:lpstr>ALU_Dec</vt:lpstr>
      <vt:lpstr>ALU_Hex</vt:lpstr>
      <vt:lpstr>ALU_INC4</vt:lpstr>
      <vt:lpstr>ALU_NEG</vt:lpstr>
      <vt:lpstr>ALU_NOT</vt:lpstr>
      <vt:lpstr>ALU_OR</vt:lpstr>
      <vt:lpstr>ALU_SHC</vt:lpstr>
      <vt:lpstr>ALU_SHL</vt:lpstr>
      <vt:lpstr>ALU_SHR</vt:lpstr>
      <vt:lpstr>ALU_SHRA</vt:lpstr>
      <vt:lpstr>ALU_SUB</vt:lpstr>
      <vt:lpstr>AND_Result</vt:lpstr>
      <vt:lpstr>BAout</vt:lpstr>
      <vt:lpstr>BUS</vt:lpstr>
      <vt:lpstr>CB_Result</vt:lpstr>
      <vt:lpstr>Cin</vt:lpstr>
      <vt:lpstr>clock</vt:lpstr>
      <vt:lpstr>cond</vt:lpstr>
      <vt:lpstr>Cout</vt:lpstr>
      <vt:lpstr>Gra</vt:lpstr>
      <vt:lpstr>Grb</vt:lpstr>
      <vt:lpstr>Grc</vt:lpstr>
      <vt:lpstr>INC4_Result</vt:lpstr>
      <vt:lpstr>IR</vt:lpstr>
      <vt:lpstr>IR_bin</vt:lpstr>
      <vt:lpstr>IR_c_out_soru</vt:lpstr>
      <vt:lpstr>IR_c1</vt:lpstr>
      <vt:lpstr>IR_c1_ext</vt:lpstr>
      <vt:lpstr>IR_c1_out</vt:lpstr>
      <vt:lpstr>IR_c1_out_ext_uns</vt:lpstr>
      <vt:lpstr>IR_c2</vt:lpstr>
      <vt:lpstr>IR_c2_ext</vt:lpstr>
      <vt:lpstr>IR_c2_out</vt:lpstr>
      <vt:lpstr>IR_c2_out_ext_uns</vt:lpstr>
      <vt:lpstr>IR_c3</vt:lpstr>
      <vt:lpstr>IR_op</vt:lpstr>
      <vt:lpstr>IR_ra</vt:lpstr>
      <vt:lpstr>IR_rb</vt:lpstr>
      <vt:lpstr>IR_rc</vt:lpstr>
      <vt:lpstr>IRin</vt:lpstr>
      <vt:lpstr>MA</vt:lpstr>
      <vt:lpstr>MAin</vt:lpstr>
      <vt:lpstr>MD</vt:lpstr>
      <vt:lpstr>MD_0</vt:lpstr>
      <vt:lpstr>MD_1</vt:lpstr>
      <vt:lpstr>MD_2</vt:lpstr>
      <vt:lpstr>MD_3</vt:lpstr>
      <vt:lpstr>MDin</vt:lpstr>
      <vt:lpstr>MDout</vt:lpstr>
      <vt:lpstr>MDrd</vt:lpstr>
      <vt:lpstr>MDwr</vt:lpstr>
      <vt:lpstr>MemoryWords</vt:lpstr>
      <vt:lpstr>n</vt:lpstr>
      <vt:lpstr>NEG_Result</vt:lpstr>
      <vt:lpstr>NOT_Result</vt:lpstr>
      <vt:lpstr>op_error</vt:lpstr>
      <vt:lpstr>OR_Result</vt:lpstr>
      <vt:lpstr>PC</vt:lpstr>
      <vt:lpstr>PCin</vt:lpstr>
      <vt:lpstr>PCout</vt:lpstr>
      <vt:lpstr>Reg_0</vt:lpstr>
      <vt:lpstr>Reg_1</vt:lpstr>
      <vt:lpstr>Reg_10</vt:lpstr>
      <vt:lpstr>Reg_11</vt:lpstr>
      <vt:lpstr>Reg_12</vt:lpstr>
      <vt:lpstr>Reg_13</vt:lpstr>
      <vt:lpstr>Reg_14</vt:lpstr>
      <vt:lpstr>Reg_15</vt:lpstr>
      <vt:lpstr>Reg_16</vt:lpstr>
      <vt:lpstr>Reg_17</vt:lpstr>
      <vt:lpstr>Reg_18</vt:lpstr>
      <vt:lpstr>Reg_19</vt:lpstr>
      <vt:lpstr>Reg_2</vt:lpstr>
      <vt:lpstr>Reg_20</vt:lpstr>
      <vt:lpstr>Reg_21</vt:lpstr>
      <vt:lpstr>Reg_22</vt:lpstr>
      <vt:lpstr>Reg_23</vt:lpstr>
      <vt:lpstr>Reg_24</vt:lpstr>
      <vt:lpstr>Reg_25</vt:lpstr>
      <vt:lpstr>Reg_26</vt:lpstr>
      <vt:lpstr>Reg_27</vt:lpstr>
      <vt:lpstr>Reg_28</vt:lpstr>
      <vt:lpstr>Reg_29</vt:lpstr>
      <vt:lpstr>Reg_3</vt:lpstr>
      <vt:lpstr>Reg_30</vt:lpstr>
      <vt:lpstr>Reg_31</vt:lpstr>
      <vt:lpstr>Reg_4</vt:lpstr>
      <vt:lpstr>Reg_5</vt:lpstr>
      <vt:lpstr>Reg_6</vt:lpstr>
      <vt:lpstr>Reg_7</vt:lpstr>
      <vt:lpstr>Reg_8</vt:lpstr>
      <vt:lpstr>Reg_9</vt:lpstr>
      <vt:lpstr>Reg_A</vt:lpstr>
      <vt:lpstr>Reg_C</vt:lpstr>
      <vt:lpstr>Registers</vt:lpstr>
      <vt:lpstr>Rin</vt:lpstr>
      <vt:lpstr>Rout</vt:lpstr>
      <vt:lpstr>run</vt:lpstr>
      <vt:lpstr>Running</vt:lpstr>
      <vt:lpstr>Sel_Reg</vt:lpstr>
      <vt:lpstr>Sel_Reg_Val</vt:lpstr>
      <vt:lpstr>SHC_Result</vt:lpstr>
      <vt:lpstr>SHL_Result</vt:lpstr>
      <vt:lpstr>SHR_Result</vt:lpstr>
      <vt:lpstr>SHRA_Result</vt:lpstr>
      <vt:lpstr>SUB_Result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Ryder Dale Walton</dc:creator>
  <cp:lastModifiedBy>Ryder Dale Walton</cp:lastModifiedBy>
  <dcterms:created xsi:type="dcterms:W3CDTF">2017-03-01T15:18:05Z</dcterms:created>
  <dcterms:modified xsi:type="dcterms:W3CDTF">2017-11-24T17:52:56Z</dcterms:modified>
</cp:coreProperties>
</file>